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022219a70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ING" sheetId="23" r:id="R0b2cc71065fc4812"/>
    <x:sheet xmlns:r="http://schemas.openxmlformats.org/officeDocument/2006/relationships" name="EXPENSE" sheetId="27" r:id="R3b4ca6ddcfc44a7e"/>
    <x:sheet xmlns:r="http://schemas.openxmlformats.org/officeDocument/2006/relationships" name="Pictures" sheetId="28" r:id="Rf6cb5a2576354ac5"/>
    <x:sheet xmlns:r="http://schemas.openxmlformats.org/officeDocument/2006/relationships" name="EXPENSE_Bad" sheetId="22" r:id="Ra1614564ad09498e"/>
    <x:sheet xmlns:r="http://schemas.openxmlformats.org/officeDocument/2006/relationships" name="Convalida dati" sheetId="24" r:id="Rd059ef8b0565419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<x:sst xmlns:x="http://schemas.openxmlformats.org/spreadsheetml/2006/main">
  <x:si>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Anno</x:t>
  </x:si>
  <x:si>
    <x:t xml:space="preserve">Mese</x:t>
  </x:si>
  <x:si>
    <x:t xml:space="preserve">Giugno</x:t>
  </x:si>
  <x:si>
    <x:t xml:space="preserve">DATE</x:t>
  </x:si>
  <x:si>
    <x:t xml:space="preserve">DAY</x:t>
  </x:si>
  <x:si>
    <x:t xml:space="preserve">WORKING 
HOURS</x:t>
  </x:si>
  <x:si>
    <x:t xml:space="preserve">TRAVEL
HOURS</x:t>
  </x:si>
  <x:si>
    <x:t xml:space="preserve">SMART 
WORKING</x:t>
  </x:si>
  <x:si>
    <x:t xml:space="preserve">CUSTOMER SITE / 
PLACE</x:t>
  </x:si>
  <x:si>
    <x:t xml:space="preserve">NOTE (plane, car, etc)</x:t>
  </x:si>
  <x:si>
    <x:t xml:space="preserve">KM</x:t>
  </x:si>
  <x:si>
    <x:t xml:space="preserve">EXTRA 
ALLOWANCE</x:t>
  </x:si>
  <x:si>
    <x:t xml:space="preserve">TOT</x:t>
  </x:si>
  <x:si>
    <x:t xml:space="preserve"> TRAVEL DESCRIPTION:</x:t>
  </x:si>
  <x:si>
    <x:t xml:space="preserve">MONEY:</x:t>
  </x:si>
  <x:si>
    <x:t xml:space="preserve">CREDIT CARD -</x:t>
  </x:si>
  <x:si>
    <x:t xml:space="preserve">CASH -</x:t>
  </x:si>
  <x:si>
    <x:t xml:space="preserve"> CURRENCY:   €</x:t>
  </x:si>
  <x:si>
    <x:t xml:space="preserve">OTHERS:
(if applicable)</x:t>
  </x:si>
  <x:si>
    <x:t xml:space="preserve">Monday</x:t>
  </x:si>
  <x:si>
    <x:t xml:space="preserve">Tuesday</x:t>
  </x:si>
  <x:si>
    <x:t xml:space="preserve">Wednesday</x:t>
  </x:si>
  <x:si>
    <x:t xml:space="preserve">Thursday</x:t>
  </x:si>
  <x:si>
    <x:t xml:space="preserve">Friday</x:t>
  </x:si>
  <x:si>
    <x:t xml:space="preserve">Saturday</x:t>
  </x:si>
  <x:si>
    <x:t xml:space="preserve">Sunday</x:t>
  </x:si>
  <x:si>
    <x:t xml:space="preserve">HOTEL</x:t>
  </x:si>
  <x:si>
    <x:t xml:space="preserve">BREAKFAST</x:t>
  </x:si>
  <x:si>
    <x:t xml:space="preserve">LUNCH</x:t>
  </x:si>
  <x:si>
    <x:t xml:space="preserve">DINNER</x:t>
  </x:si>
  <x:si>
    <x:t xml:space="preserve">TAXI / TRAVELS</x:t>
  </x:si>
  <x:si>
    <x:t xml:space="preserve">GASOLINE</x:t>
  </x:si>
  <x:si>
    <x:t xml:space="preserve">HIGHWAY TOLL</x:t>
  </x:si>
  <x:si>
    <x:t xml:space="preserve"> KM. PAYBACK (if applicable)</x:t>
  </x:si>
  <x:si>
    <x:t xml:space="preserve">PARKING</x:t>
  </x:si>
  <x:si>
    <x:t xml:space="preserve">BAR</x:t>
  </x:si>
  <x:si>
    <x:t xml:space="preserve">LAUNDRY</x:t>
  </x:si>
  <x:si>
    <x:t xml:space="preserve">EXTRA ON MOBILE PHONE</x:t>
  </x:si>
  <x:si>
    <x:t xml:space="preserve">OTHERS
(specify in the second line)</x:t>
  </x:si>
  <x:si>
    <x:t xml:space="preserve">EXPENSE W/O TICKET</x:t>
  </x:si>
  <x:si>
    <x:t xml:space="preserve">PERSONAL EXPENSE</x:t>
  </x:si>
  <x:si>
    <x:t xml:space="preserve">DAILY TOTAL</x:t>
  </x:si>
  <x:si>
    <x:t xml:space="preserve">WEEKLY TOTAL</x:t>
  </x:si>
  <x:si>
    <x:r>
      <x:t xml:space="preserve">NOTE (If applicable): </x:t>
    </x:r>
    <x:r>
      <x:rPr>
        <x:b/>
        <x:sz val="10"/>
        <x:color rgb="FFFF0000"/>
        <x:rFont val="Calibri"/>
        <x:family val="2"/>
        <x:scheme val="minor"/>
      </x:rPr>
      <x:t xml:space="preserve">ROSSO</x:t>
    </x:r>
    <x:r>
      <x:rPr>
        <x:b/>
        <x:sz val="10"/>
        <x:color theme="1"/>
        <x:rFont val="Calibri"/>
        <x:family val="2"/>
        <x:scheme val="minor"/>
      </x:rPr>
      <x:t xml:space="preserve">= Spese sostenute Personalmente - </x:t>
    </x:r>
    <x:r>
      <x:rPr>
        <x:b/>
        <x:sz val="10"/>
        <x:color theme="9"/>
        <x:rFont val="Calibri"/>
        <x:family val="2"/>
        <x:scheme val="minor"/>
      </x:rPr>
      <x:t xml:space="preserve">VERDE</x:t>
    </x:r>
    <x:r>
      <x:rPr>
        <x:b/>
        <x:sz val="10"/>
        <x:color theme="1"/>
        <x:rFont val="Calibri"/>
        <x:family val="2"/>
        <x:scheme val="minor"/>
      </x:rPr>
      <x:t xml:space="preserve">= Carta Carburante - </x:t>
    </x:r>
    <x:r>
      <x:rPr>
        <x:b/>
        <x:sz val="10"/>
        <x:color theme="4"/>
        <x:rFont val="Calibri"/>
        <x:family val="2"/>
        <x:scheme val="minor"/>
      </x:rPr>
      <x:t xml:space="preserve">BLU</x:t>
    </x:r>
    <x:r>
      <x:rPr>
        <x:b/>
        <x:sz val="10"/>
        <x:color theme="1"/>
        <x:rFont val="Calibri"/>
        <x:family val="2"/>
        <x:scheme val="minor"/>
      </x:rPr>
      <x:t xml:space="preserve">= Carta Aziendale (Soldi del Bonifico anticipato)</x:t>
    </x:r>
  </x:si>
  <x:si>
    <x:t xml:space="preserve">TOTAL OF THE MONTH</x:t>
  </x:si>
  <x:si>
    <x:t xml:space="preserve"> TOTAL RECEIVED BY OMI</x:t>
  </x:si>
  <x:si>
    <x:t xml:space="preserve">(if applicable)</x:t>
  </x:si>
  <x:si>
    <x:t xml:space="preserve">€</x:t>
  </x:si>
  <x:si>
    <x:t xml:space="preserve">TOTAL GIVEN BACK TO OMI</x:t>
  </x:si>
  <x:si>
    <x:t xml:space="preserve">yes / no</x:t>
  </x:si>
  <x:si>
    <x:t xml:space="preserve">NOTE (If applicable): </x:t>
  </x:si>
  <x:si>
    <x:t xml:space="preserve">NOTE (If applicable): * dinner x2 - ** dinner with customer *** lunch with Italian team (4)</x:t>
  </x:si>
  <x:si>
    <x:t xml:space="preserve">NOTE (If applicable): (Dinner 22/10 x3 )</x:t>
  </x:si>
  <x:si>
    <x:t xml:space="preserve">Note</x:t>
  </x:si>
  <x:si>
    <x:t xml:space="preserve">Mesi</x:t>
  </x:si>
  <x:si>
    <x:t xml:space="preserve">Conversione in Numero</x:t>
  </x:si>
  <x:si>
    <x:t xml:space="preserve">Day in the week</x:t>
  </x:si>
  <x:si>
    <x:t xml:space="preserve">Somma Parziale</x:t>
  </x:si>
  <x:si>
    <x:t xml:space="preserve">Restanti nel mese</x:t>
  </x:si>
  <x:si>
    <x:t xml:space="preserve">Utility Sequenza</x:t>
  </x:si>
  <x:si>
    <x:t xml:space="preserve">Car</x:t>
  </x:si>
  <x:si>
    <x:t xml:space="preserve">Gennaio</x:t>
  </x:si>
  <x:si>
    <x:t xml:space="preserve">Week_1</x:t>
  </x:si>
  <x:si>
    <x:t xml:space="preserve">Plane</x:t>
  </x:si>
  <x:si>
    <x:t xml:space="preserve">Febbraio</x:t>
  </x:si>
  <x:si>
    <x:t xml:space="preserve">Week_2</x:t>
  </x:si>
  <x:si>
    <x:t xml:space="preserve">Taxi</x:t>
  </x:si>
  <x:si>
    <x:t xml:space="preserve">Marzo</x:t>
  </x:si>
  <x:si>
    <x:t xml:space="preserve">Week_3</x:t>
  </x:si>
  <x:si>
    <x:t xml:space="preserve">Aprile</x:t>
  </x:si>
  <x:si>
    <x:t xml:space="preserve">Week_4</x:t>
  </x:si>
  <x:si>
    <x:t xml:space="preserve">Maggio</x:t>
  </x:si>
  <x:si>
    <x:t xml:space="preserve">Giorni del mese</x:t>
  </x:si>
  <x:si>
    <x:t xml:space="preserve">Week_5</x:t>
  </x:si>
  <x:si>
    <x:t xml:space="preserve">Total</x:t>
  </x:si>
  <x:si>
    <x:t xml:space="preserve">Luglio</x:t>
  </x:si>
  <x:si>
    <x:t xml:space="preserve">Agosto</x:t>
  </x:si>
  <x:si>
    <x:t xml:space="preserve">Settembre</x:t>
  </x:si>
  <x:si>
    <x:t xml:space="preserve">Ottobre</x:t>
  </x:si>
  <x:si>
    <x:t xml:space="preserve">Novembre</x:t>
  </x:si>
  <x:si>
    <x:t xml:space="preserve">Dicembre</x:t>
  </x:si>
</x:sst>
</file>

<file path=xl/styles.xml><?xml version="1.0" encoding="utf-8"?>
<x:styleSheet xmlns:x="http://schemas.openxmlformats.org/spreadsheetml/2006/main">
  <x:numFmts count="4">
    <x:numFmt numFmtId="44" formatCode="_-* #,##0.00\ &quot;€&quot;_-;\-* #,##0.00\ &quot;€&quot;_-;_-* &quot;-&quot;??\ &quot;€&quot;_-;_-@_-"/>
    <x:numFmt numFmtId="164" formatCode="#,##0.00\ &quot;€&quot;"/>
    <x:numFmt numFmtId="165" formatCode="_-* #,##0.00\ [$€-410]_-;\-* #,##0.00\ [$€-410]_-;_-* &quot;-&quot;??\ [$€-410]_-;_-@_-"/>
    <x:numFmt numFmtId="166" formatCode="[$-F800]dddd\,\ mmmm\ dd\,\ yyyy"/>
  </x:numFmts>
  <x:fonts count="21">
    <x:font>
      <x:sz val="11"/>
      <x:color theme="1"/>
      <x:name val="Arial"/>
    </x:font>
    <x:font>
      <x:sz val="11"/>
      <x:color theme="1"/>
      <x:name val="Calibri"/>
    </x:font>
    <x:font>
      <x:b/>
      <x:sz val="12"/>
      <x:color theme="1"/>
      <x:name val="Calibri"/>
    </x:font>
    <x:font>
      <x:sz val="12"/>
      <x:color theme="1"/>
      <x:name val="Calibri"/>
    </x:font>
    <x:font>
      <x:b/>
      <x:sz val="10"/>
      <x:color theme="1"/>
      <x:name val="Calibri"/>
    </x:font>
    <x:font>
      <x:b/>
      <x:sz val="8"/>
      <x:color theme="1"/>
      <x:name val="Calibri"/>
    </x:font>
    <x:font>
      <x:sz val="11"/>
      <x:color theme="1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10"/>
      <x:color theme="1"/>
      <x:name val="Calibri"/>
    </x:font>
    <x:font>
      <x:b/>
      <x:sz val="10"/>
      <x:name val="Calibri"/>
    </x:font>
    <x:font>
      <x:b/>
      <x:sz val="11"/>
      <x:color theme="1"/>
      <x:name val="Arial"/>
    </x:font>
    <x:font>
      <x:sz val="8"/>
      <x:name val="Arial"/>
    </x:font>
    <x:font>
      <x:sz val="11"/>
      <x:color theme="1"/>
      <x:name val="Arial"/>
    </x:font>
    <x:font>
      <x:b/>
      <x:sz val="10"/>
      <x:color rgb="FFFF0000"/>
      <x:name val="Calibri"/>
    </x:font>
    <x:font>
      <x:b/>
      <x:sz val="10"/>
      <x:color theme="9"/>
      <x:name val="Calibri"/>
    </x:font>
    <x:font>
      <x:b/>
      <x:sz val="10"/>
      <x:color theme="4"/>
      <x:name val="Calibri"/>
    </x:font>
    <x:font>
      <x:sz val="11"/>
      <x:color rgb="FFFF0000"/>
      <x:name val="Calibri"/>
    </x:font>
    <x:font>
      <x:sz val="11"/>
      <x:color theme="9"/>
      <x:name val="Calibri"/>
    </x:font>
    <x:font>
      <x:sz val="11"/>
      <x:color rgb="FF0070C0"/>
      <x:name val="Calibri"/>
    </x:font>
    <x:font>
      <x:sz val="11"/>
      <x:color rgb="FF00B05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2" tint="-0.09998"/>
      </x:patternFill>
    </x:fill>
    <x:fill>
      <x:patternFill patternType="solid">
        <x:fgColor theme="0" tint="-0.15"/>
      </x:patternFill>
    </x:fill>
    <x:fill>
      <x:patternFill patternType="solid">
        <x:fgColor theme="8" tint="0.59999"/>
      </x:patternFill>
    </x:fill>
    <x:fill>
      <x:patternFill patternType="solid">
        <x:fgColor theme="0"/>
      </x:patternFill>
    </x:fill>
  </x:fills>
  <x:borders count="3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left style="medium">
        <x:color indexed="64"/>
      </x:left>
      <x:top style="thin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</x:borders>
  <x:cellStyleXfs count="3">
    <x:xf numFmtId="0" fontId="0" fillId="0" borderId="0"/>
    <x:xf numFmtId="0" fontId="1" fillId="0" borderId="0"/>
    <x:xf numFmtId="44" fontId="6" fillId="0" borderId="0" applyFont="0" applyFill="0" applyBorder="0" applyAlignment="0" applyProtection="0"/>
  </x:cellStyleXfs>
  <x:cellXfs count="139">
    <x:xf numFmtId="0" fontId="0" fillId="0" borderId="0" xfId="0"/>
    <x:xf numFmtId="0" fontId="1" fillId="0" borderId="0" xfId="1"/>
    <x:xf numFmtId="0" fontId="2" fillId="0" borderId="0" xfId="1" applyFont="1" applyAlignment="1">
      <x:alignment vertical="center"/>
    </x:xf>
    <x:xf numFmtId="0" fontId="3" fillId="0" borderId="0" xfId="1" applyFont="1"/>
    <x:xf numFmtId="0" fontId="2" fillId="0" borderId="1" xfId="1" applyFont="1" applyBorder="1" applyAlignment="1">
      <x:alignment horizontal="center" vertical="center"/>
    </x:xf>
    <x:xf numFmtId="164" fontId="1" fillId="2" borderId="11" xfId="1" applyNumberFormat="1" applyFill="1" applyBorder="1"/>
    <x:xf numFmtId="164" fontId="1" fillId="0" borderId="1" xfId="1" applyNumberFormat="1" applyBorder="1"/>
    <x:xf numFmtId="164" fontId="1" fillId="2" borderId="1" xfId="1" applyNumberFormat="1" applyFill="1" applyBorder="1"/>
    <x:xf numFmtId="164" fontId="1" fillId="0" borderId="12" xfId="1" applyNumberFormat="1" applyBorder="1"/>
    <x:xf numFmtId="0" fontId="2" fillId="0" borderId="8" xfId="1" applyFont="1" applyBorder="1" applyAlignment="1">
      <x:alignment horizontal="center" vertical="center"/>
    </x:xf>
    <x:xf numFmtId="49" fontId="1" fillId="0" borderId="1" xfId="1" applyNumberFormat="1" applyBorder="1"/>
    <x:xf numFmtId="0" fontId="2" fillId="0" borderId="16" xfId="1" applyFont="1" applyBorder="1" applyAlignment="1">
      <x:alignment horizontal="center" vertical="center"/>
    </x:xf>
    <x:xf numFmtId="0" fontId="4" fillId="2" borderId="17" xfId="1" applyFont="1" applyFill="1" applyBorder="1" applyAlignment="1">
      <x:alignment horizontal="center" vertical="center"/>
    </x:xf>
    <x:xf numFmtId="164" fontId="1" fillId="2" borderId="18" xfId="1" applyNumberFormat="1" applyFill="1" applyBorder="1"/>
    <x:xf numFmtId="0" fontId="4" fillId="0" borderId="17" xfId="1" applyFont="1" applyBorder="1" applyAlignment="1">
      <x:alignment horizontal="center" vertical="center"/>
    </x:xf>
    <x:xf numFmtId="164" fontId="1" fillId="0" borderId="16" xfId="1" applyNumberFormat="1" applyBorder="1"/>
    <x:xf numFmtId="164" fontId="1" fillId="2" borderId="16" xfId="1" applyNumberFormat="1" applyFill="1" applyBorder="1"/>
    <x:xf numFmtId="49" fontId="1" fillId="0" borderId="16" xfId="1" applyNumberFormat="1" applyBorder="1"/>
    <x:xf numFmtId="0" fontId="4" fillId="0" borderId="19" xfId="1" applyFont="1" applyBorder="1" applyAlignment="1">
      <x:alignment horizontal="center" vertical="center"/>
    </x:xf>
    <x:xf numFmtId="0" fontId="2" fillId="0" borderId="8" xfId="1" applyFont="1" applyBorder="1" applyAlignment="1">
      <x:alignment vertical="center"/>
    </x:xf>
    <x:xf numFmtId="0" fontId="2" fillId="0" borderId="9" xfId="1" applyFont="1" applyBorder="1" applyAlignment="1">
      <x:alignment vertical="center"/>
    </x:xf>
    <x:xf numFmtId="0" fontId="2" fillId="0" borderId="10" xfId="1" applyFont="1" applyBorder="1" applyAlignment="1">
      <x:alignment vertical="center"/>
    </x:xf>
    <x:xf numFmtId="0" fontId="2" fillId="0" borderId="9" xfId="1" applyFont="1" applyBorder="1" applyAlignment="1">
      <x:alignment vertical="center" wrapText="1"/>
    </x:xf>
    <x:xf numFmtId="0" fontId="5" fillId="0" borderId="9" xfId="1" applyFont="1" applyBorder="1" applyAlignment="1">
      <x:alignment horizontal="right" vertical="center" wrapText="1"/>
    </x:xf>
    <x:xf numFmtId="0" fontId="2" fillId="0" borderId="9" xfId="1" applyFont="1" applyBorder="1" applyAlignment="1">
      <x:alignment horizontal="right" vertical="center"/>
    </x:xf>
    <x:xf numFmtId="0" fontId="4" fillId="3" borderId="21" xfId="1" applyFont="1" applyFill="1" applyBorder="1" applyAlignment="1">
      <x:alignment horizontal="center" vertical="center"/>
    </x:xf>
    <x:xf numFmtId="0" fontId="1" fillId="3" borderId="14" xfId="1" applyFill="1" applyBorder="1" applyAlignment="1">
      <x:alignment horizontal="center"/>
    </x:xf>
    <x:xf numFmtId="164" fontId="1" fillId="2" borderId="23" xfId="1" applyNumberFormat="1" applyFill="1" applyBorder="1"/>
    <x:xf numFmtId="164" fontId="1" fillId="3" borderId="12" xfId="1" applyNumberFormat="1" applyFill="1" applyBorder="1"/>
    <x:xf numFmtId="0" fontId="4" fillId="0" borderId="24" xfId="1" applyFont="1" applyBorder="1" applyAlignment="1">
      <x:alignment horizontal="center" vertical="center"/>
    </x:xf>
    <x:xf numFmtId="164" fontId="1" fillId="0" borderId="23" xfId="1" applyNumberFormat="1" applyBorder="1"/>
    <x:xf numFmtId="14" fontId="2" fillId="0" borderId="1" xfId="1" applyNumberFormat="1" applyFont="1" applyBorder="1" applyAlignment="1">
      <x:alignment horizontal="center" vertical="center"/>
    </x:xf>
    <x:xf numFmtId="0" fontId="4" fillId="4" borderId="17" xfId="1" applyFont="1" applyFill="1" applyBorder="1" applyAlignment="1">
      <x:alignment horizontal="center" vertical="center"/>
    </x:xf>
    <x:xf numFmtId="164" fontId="1" fillId="4" borderId="1" xfId="1" applyNumberFormat="1" applyFill="1" applyBorder="1"/>
    <x:xf numFmtId="164" fontId="1" fillId="4" borderId="16" xfId="1" applyNumberFormat="1" applyFill="1" applyBorder="1"/>
    <x:xf numFmtId="0" fontId="4" fillId="4" borderId="26" xfId="1" applyFont="1" applyFill="1" applyBorder="1" applyAlignment="1">
      <x:alignment horizontal="center" vertical="center"/>
    </x:xf>
    <x:xf numFmtId="0" fontId="1" fillId="4" borderId="27" xfId="1" applyFill="1" applyBorder="1" applyAlignment="1">
      <x:alignment horizontal="center"/>
    </x:xf>
    <x:xf numFmtId="0" fontId="1" fillId="4" borderId="14" xfId="1" applyFill="1" applyBorder="1" applyAlignment="1"/>
    <x:xf numFmtId="0" fontId="4" fillId="4" borderId="5" xfId="1" applyFont="1" applyFill="1" applyBorder="1" applyAlignment="1">
      <x:alignment horizontal="center" vertical="center"/>
    </x:xf>
    <x:xf numFmtId="0" fontId="1" fillId="4" borderId="6" xfId="1" applyFill="1" applyBorder="1" applyAlignment="1">
      <x:alignment horizontal="center"/>
    </x:xf>
    <x:xf numFmtId="0" fontId="1" fillId="4" borderId="25" xfId="1" applyFill="1" applyBorder="1" applyAlignment="1">
      <x:alignment horizontal="center"/>
    </x:xf>
    <x:xf numFmtId="49" fontId="1" fillId="4" borderId="12" xfId="1" applyNumberFormat="1" applyFill="1" applyBorder="1"/>
    <x:xf numFmtId="0" fontId="7" fillId="0" borderId="0" xfId="0" applyFont="1"/>
    <x:xf numFmtId="0" fontId="7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1" xfId="0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0" fontId="11" fillId="0" borderId="0" xfId="0" applyFont="1" applyBorder="1" applyAlignment="1">
      <x:alignment horizontal="center" vertical="center"/>
    </x:xf>
    <x:xf numFmtId="0" fontId="0" fillId="0" borderId="0" xfId="0" applyBorder="1" applyAlignment="1">
      <x:alignment horizontal="center" vertical="center"/>
    </x:xf>
    <x:xf numFmtId="49" fontId="0" fillId="0" borderId="0" xfId="0" applyNumberFormat="1" applyBorder="1" applyAlignment="1">
      <x:alignment horizontal="center" vertical="center"/>
    </x:xf>
    <x:xf numFmtId="0" fontId="7" fillId="0" borderId="0" xfId="0" applyFont="1" applyFill="1"/>
    <x:xf numFmtId="14" fontId="7" fillId="0" borderId="0" xfId="0" applyNumberFormat="1" applyFont="1" applyFill="1"/>
    <x:xf numFmtId="0" fontId="0" fillId="0" borderId="0" xfId="0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14" fontId="0" fillId="0" borderId="0" xfId="0" applyNumberFormat="1" applyAlignment="1">
      <x:alignment horizontal="center" vertical="center"/>
    </x:xf>
    <x:xf numFmtId="14" fontId="0" fillId="0" borderId="0" xfId="0" applyNumberFormat="1" applyAlignment="1">
      <x:alignment horizontal="center" vertical="center"/>
    </x:xf>
    <x:xf numFmtId="0" fontId="7" fillId="0" borderId="0" xfId="0" applyFont="1"/>
    <x:xf numFmtId="0" fontId="11" fillId="0" borderId="0" xfId="0" applyFont="1" applyBorder="1" applyAlignment="1">
      <x:alignment horizontal="center" vertical="center" wrapText="1"/>
    </x:xf>
    <x:xf numFmtId="14" fontId="3" fillId="0" borderId="0" xfId="0" applyNumberFormat="1" applyFont="1" applyFill="1" applyBorder="1" applyAlignment="1">
      <x:alignment horizontal="center" vertical="center"/>
    </x:xf>
    <x:xf numFmtId="0" fontId="3" fillId="0" borderId="0" xfId="0" applyFont="1" applyFill="1" applyBorder="1" applyAlignment="1">
      <x:alignment horizontal="center" vertical="center"/>
    </x:xf>
    <x:xf numFmtId="0" fontId="9" fillId="0" borderId="0" xfId="0" applyFont="1" applyFill="1" applyBorder="1" applyAlignment="1">
      <x:alignment horizontal="center" vertical="center"/>
    </x:xf>
    <x:xf numFmtId="165" fontId="3" fillId="0" borderId="0" xfId="0" applyNumberFormat="1" applyFont="1" applyFill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0" fontId="3" fillId="0" borderId="31" xfId="0" applyFont="1" applyBorder="1" applyAlignment="1">
      <x:alignment horizontal="center" vertical="center"/>
    </x:xf>
    <x:xf numFmtId="0" fontId="3" fillId="0" borderId="32" xfId="0" applyFont="1" applyBorder="1" applyAlignment="1">
      <x:alignment horizontal="center" vertical="center"/>
    </x:xf>
    <x:xf numFmtId="44" fontId="3" fillId="0" borderId="33" xfId="2" applyFont="1" applyBorder="1" applyAlignment="1">
      <x:alignment horizontal="center" vertical="center"/>
    </x:xf>
    <x:xf numFmtId="14" fontId="3" fillId="0" borderId="0" xfId="1" applyNumberFormat="1" applyFont="1"/>
    <x:xf numFmtId="164" fontId="1" fillId="2" borderId="29" xfId="1" applyNumberFormat="1" applyFill="1" applyBorder="1"/>
    <x:xf numFmtId="14" fontId="1" fillId="0" borderId="0" xfId="1" applyNumberFormat="1"/>
    <x:xf numFmtId="0" fontId="1" fillId="0" borderId="13" xfId="1" applyBorder="1" applyAlignment="1">
      <x:alignment horizontal="center"/>
    </x:xf>
    <x:xf numFmtId="0" fontId="1" fillId="0" borderId="14" xfId="1" applyBorder="1" applyAlignment="1">
      <x:alignment horizontal="center"/>
    </x:xf>
    <x:xf numFmtId="14" fontId="3" fillId="0" borderId="1" xfId="1" applyNumberFormat="1" applyFont="1" applyBorder="1"/>
    <x:xf numFmtId="14" fontId="1" fillId="0" borderId="1" xfId="1" applyNumberFormat="1" applyBorder="1"/>
    <x:xf numFmtId="0" fontId="0" fillId="0" borderId="0" xfId="0" applyAlignment="1">
      <x:alignment horizontal="center" vertical="center" wrapText="1"/>
    </x:xf>
    <x:xf numFmtId="0" fontId="0" fillId="0" borderId="0" xfId="0" applyNumberFormat="1" applyAlignment="1">
      <x:alignment horizontal="center" vertical="center"/>
    </x:xf>
    <x:xf numFmtId="0" fontId="7" fillId="0" borderId="8" xfId="0" applyFont="1" applyBorder="1" applyAlignment="1">
      <x:alignment horizontal="left" vertical="center"/>
    </x:xf>
    <x:xf numFmtId="49" fontId="7" fillId="0" borderId="10" xfId="0" applyNumberFormat="1" applyFont="1" applyBorder="1" applyAlignment="1">
      <x:alignment horizontal="left" vertical="center"/>
    </x:xf>
    <x:xf numFmtId="0" fontId="7" fillId="0" borderId="8" xfId="0" applyFont="1" applyBorder="1" applyAlignment="1">
      <x:alignment horizontal="center" vertical="center"/>
    </x:xf>
    <x:xf numFmtId="49" fontId="7" fillId="0" borderId="10" xfId="0" applyNumberFormat="1" applyFont="1" applyBorder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7" fillId="0" borderId="0" xfId="0" applyFont="1" applyBorder="1"/>
    <x:xf numFmtId="0" fontId="8" fillId="3" borderId="34" xfId="0" applyFont="1" applyFill="1" applyBorder="1" applyAlignment="1">
      <x:alignment horizontal="center" vertical="center"/>
    </x:xf>
    <x:xf numFmtId="0" fontId="8" fillId="5" borderId="35" xfId="0" applyFont="1" applyFill="1" applyBorder="1" applyAlignment="1">
      <x:alignment horizontal="center" vertical="center"/>
    </x:xf>
    <x:xf numFmtId="0" fontId="8" fillId="5" borderId="35" xfId="0" applyFont="1" applyFill="1" applyBorder="1" applyAlignment="1">
      <x:alignment horizontal="center" vertical="center" wrapText="1"/>
    </x:xf>
    <x:xf numFmtId="0" fontId="8" fillId="5" borderId="4" xfId="0" applyFont="1" applyFill="1" applyBorder="1" applyAlignment="1">
      <x:alignment horizontal="center" vertical="center" wrapText="1"/>
    </x:xf>
    <x:xf numFmtId="164" fontId="17" fillId="0" borderId="1" xfId="1" applyNumberFormat="1" applyFont="1" applyBorder="1"/>
    <x:xf numFmtId="164" fontId="17" fillId="2" borderId="11" xfId="1" applyNumberFormat="1" applyFont="1" applyFill="1" applyBorder="1"/>
    <x:xf numFmtId="164" fontId="17" fillId="2" borderId="1" xfId="1" applyNumberFormat="1" applyFont="1" applyFill="1" applyBorder="1"/>
    <x:xf numFmtId="164" fontId="17" fillId="4" borderId="1" xfId="1" applyNumberFormat="1" applyFont="1" applyFill="1" applyBorder="1"/>
    <x:xf numFmtId="49" fontId="17" fillId="0" borderId="1" xfId="1" applyNumberFormat="1" applyFont="1" applyBorder="1"/>
    <x:xf numFmtId="166" fontId="3" fillId="0" borderId="0" xfId="0" applyNumberFormat="1" applyFont="1" applyFill="1" applyBorder="1" applyAlignment="1">
      <x:alignment horizontal="center" vertical="center"/>
    </x:xf>
    <x:xf numFmtId="164" fontId="18" fillId="0" borderId="1" xfId="1" applyNumberFormat="1" applyFont="1" applyBorder="1"/>
    <x:xf numFmtId="164" fontId="19" fillId="2" borderId="11" xfId="1" applyNumberFormat="1" applyFont="1" applyFill="1" applyBorder="1"/>
    <x:xf numFmtId="164" fontId="19" fillId="2" borderId="18" xfId="1" applyNumberFormat="1" applyFont="1" applyFill="1" applyBorder="1"/>
    <x:xf numFmtId="164" fontId="19" fillId="0" borderId="1" xfId="1" applyNumberFormat="1" applyFont="1" applyBorder="1"/>
    <x:xf numFmtId="164" fontId="19" fillId="0" borderId="16" xfId="1" applyNumberFormat="1" applyFont="1" applyBorder="1"/>
    <x:xf numFmtId="164" fontId="19" fillId="2" borderId="1" xfId="1" applyNumberFormat="1" applyFont="1" applyFill="1" applyBorder="1"/>
    <x:xf numFmtId="164" fontId="19" fillId="2" borderId="16" xfId="1" applyNumberFormat="1" applyFont="1" applyFill="1" applyBorder="1"/>
    <x:xf numFmtId="164" fontId="19" fillId="4" borderId="1" xfId="1" applyNumberFormat="1" applyFont="1" applyFill="1" applyBorder="1"/>
    <x:xf numFmtId="164" fontId="19" fillId="4" borderId="16" xfId="1" applyNumberFormat="1" applyFont="1" applyFill="1" applyBorder="1"/>
    <x:xf numFmtId="49" fontId="19" fillId="0" borderId="1" xfId="1" applyNumberFormat="1" applyFont="1" applyBorder="1"/>
    <x:xf numFmtId="49" fontId="19" fillId="0" borderId="16" xfId="1" applyNumberFormat="1" applyFont="1" applyBorder="1"/>
    <x:xf numFmtId="164" fontId="20" fillId="0" borderId="1" xfId="1" applyNumberFormat="1" applyFont="1" applyBorder="1"/>
    <x:xf numFmtId="164" fontId="20" fillId="0" borderId="16" xfId="1" applyNumberFormat="1" applyFont="1" applyBorder="1"/>
    <x:xf numFmtId="164" fontId="20" fillId="4" borderId="1" xfId="1" applyNumberFormat="1" applyFont="1" applyFill="1" applyBorder="1"/>
    <x:xf numFmtId="164" fontId="20" fillId="4" borderId="16" xfId="1" applyNumberFormat="1" applyFont="1" applyFill="1" applyBorder="1"/>
    <x:xf numFmtId="164" fontId="20" fillId="2" borderId="11" xfId="1" applyNumberFormat="1" applyFont="1" applyFill="1" applyBorder="1"/>
    <x:xf numFmtId="164" fontId="20" fillId="2" borderId="1" xfId="1" applyNumberFormat="1" applyFont="1" applyFill="1" applyBorder="1"/>
    <x:xf numFmtId="164" fontId="20" fillId="2" borderId="16" xfId="1" applyNumberFormat="1" applyFont="1" applyFill="1" applyBorder="1"/>
    <x:xf numFmtId="49" fontId="20" fillId="0" borderId="1" xfId="1" applyNumberFormat="1" applyFont="1" applyBorder="1"/>
    <x:xf numFmtId="49" fontId="20" fillId="0" borderId="16" xfId="1" applyNumberFormat="1" applyFont="1" applyBorder="1"/>
    <x:xf numFmtId="0" fontId="19" fillId="0" borderId="0" xfId="1" applyFont="1"/>
    <x:xf numFmtId="14" fontId="0" fillId="0" borderId="0" xfId="0" applyNumberFormat="1"/>
    <x:xf numFmtId="16" fontId="0" fillId="0" borderId="0" xfId="0" applyNumberFormat="1"/>
    <x:xf numFmtId="0" fontId="4" fillId="0" borderId="20" xfId="1" applyFont="1" applyBorder="1" applyAlignment="1">
      <x:alignment horizontal="left" vertical="top"/>
    </x:xf>
    <x:xf numFmtId="0" fontId="1" fillId="0" borderId="14" xfId="1" applyBorder="1" applyAlignment="1">
      <x:alignment horizontal="left" vertical="top"/>
    </x:xf>
    <x:xf numFmtId="0" fontId="1" fillId="0" borderId="22" xfId="1" applyBorder="1" applyAlignment="1">
      <x:alignment horizontal="left" vertical="top"/>
    </x:xf>
    <x:xf numFmtId="0" fontId="1" fillId="0" borderId="5" xfId="1" applyBorder="1" applyAlignment="1">
      <x:alignment horizontal="left" vertical="top"/>
    </x:xf>
    <x:xf numFmtId="0" fontId="1" fillId="0" borderId="6" xfId="1" applyBorder="1" applyAlignment="1">
      <x:alignment horizontal="left" vertical="top"/>
    </x:xf>
    <x:xf numFmtId="0" fontId="1" fillId="0" borderId="7" xfId="1" applyBorder="1" applyAlignment="1">
      <x:alignment horizontal="left" vertical="top"/>
    </x:xf>
    <x:xf numFmtId="0" fontId="2" fillId="0" borderId="2" xfId="1" applyFont="1" applyBorder="1" applyAlignment="1">
      <x:alignment horizontal="left" vertical="center"/>
    </x:xf>
    <x:xf numFmtId="0" fontId="2" fillId="0" borderId="3" xfId="1" applyFont="1" applyBorder="1" applyAlignment="1">
      <x:alignment horizontal="left" vertical="center"/>
    </x:xf>
    <x:xf numFmtId="0" fontId="2" fillId="0" borderId="4" xfId="1" applyFont="1" applyBorder="1" applyAlignment="1">
      <x:alignment horizontal="left" vertical="center"/>
    </x:xf>
    <x:xf numFmtId="0" fontId="2" fillId="0" borderId="15" xfId="1" applyFont="1" applyBorder="1" applyAlignment="1">
      <x:alignment horizontal="center" vertical="center"/>
    </x:xf>
    <x:xf numFmtId="0" fontId="2" fillId="0" borderId="17" xfId="1" applyFont="1" applyBorder="1" applyAlignment="1">
      <x:alignment horizontal="center" vertical="center"/>
    </x:xf>
    <x:xf numFmtId="0" fontId="10" fillId="0" borderId="15" xfId="1" applyFont="1" applyBorder="1" applyAlignment="1">
      <x:alignment horizontal="center" vertical="center" wrapText="1"/>
    </x:xf>
    <x:xf numFmtId="0" fontId="10" fillId="0" borderId="17" xfId="1" applyFont="1" applyBorder="1" applyAlignment="1">
      <x:alignment horizontal="center" vertical="center" wrapText="1"/>
    </x:xf>
    <x:xf numFmtId="0" fontId="1" fillId="0" borderId="13" xfId="1" applyBorder="1" applyAlignment="1">
      <x:alignment horizontal="center"/>
    </x:xf>
    <x:xf numFmtId="0" fontId="1" fillId="0" borderId="14" xfId="1" applyBorder="1" applyAlignment="1">
      <x:alignment horizontal="center"/>
    </x:xf>
    <x:xf numFmtId="0" fontId="2" fillId="0" borderId="20" xfId="1" applyFont="1" applyBorder="1" applyAlignment="1">
      <x:alignment horizontal="center" vertical="center"/>
    </x:xf>
    <x:xf numFmtId="0" fontId="2" fillId="0" borderId="28" xfId="1" applyFont="1" applyBorder="1" applyAlignment="1">
      <x:alignment horizontal="center" vertical="center"/>
    </x:xf>
    <x:xf numFmtId="0" fontId="4" fillId="0" borderId="20" xfId="1" applyFont="1" applyBorder="1" applyAlignment="1">
      <x:alignment horizontal="left" vertical="top" wrapText="1"/>
    </x:xf>
    <x:xf numFmtId="0" fontId="1" fillId="0" borderId="14" xfId="1" applyBorder="1" applyAlignment="1">
      <x:alignment horizontal="left" vertical="top" wrapText="1"/>
    </x:xf>
    <x:xf numFmtId="0" fontId="1" fillId="0" borderId="22" xfId="1" applyBorder="1" applyAlignment="1">
      <x:alignment horizontal="left" vertical="top" wrapText="1"/>
    </x:xf>
    <x:xf numFmtId="0" fontId="1" fillId="0" borderId="5" xfId="1" applyBorder="1" applyAlignment="1">
      <x:alignment horizontal="left" vertical="top" wrapText="1"/>
    </x:xf>
    <x:xf numFmtId="0" fontId="1" fillId="0" borderId="6" xfId="1" applyBorder="1" applyAlignment="1">
      <x:alignment horizontal="left" vertical="top" wrapText="1"/>
    </x:xf>
    <x:xf numFmtId="0" fontId="1" fillId="0" borderId="7" xfId="1" applyBorder="1" applyAlignment="1">
      <x:alignment horizontal="left" vertical="top" wrapText="1"/>
    </x:xf>
  </x:cellXfs>
  <x:cellStyles count="3">
    <x:cellStyle name="Normale" xfId="0"/>
    <x:cellStyle name="Normale 2" xfId="1"/>
    <x:cellStyle name="Valuta" xfId="2"/>
  </x:cellStyles>
  <x:dxfs count="6">
    <x:dxf>
      <x:font>
        <x:color theme="0"/>
      </x:font>
    </x:dxf>
    <x:dxf>
      <x:fill>
        <x:patternFill>
          <x:bgColor theme="0"/>
        </x:patternFill>
      </x:fill>
    </x:dxf>
    <x:dxf>
      <x:fill>
        <x:patternFill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/>
        </x:patternFill>
      </x:fill>
      <x:border>
        <x:left/>
        <x:right/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30df385cb49af" /><Relationship Type="http://schemas.openxmlformats.org/officeDocument/2006/relationships/theme" Target="/xl/theme/theme1.xml" Id="R0ae69cc5103b459b" /><Relationship Type="http://schemas.openxmlformats.org/officeDocument/2006/relationships/sheetMetadata" Target="/xl/metadata1.xml" Id="R2102c3de1a574cc4" /><Relationship Type="http://schemas.openxmlformats.org/officeDocument/2006/relationships/sharedStrings" Target="/xl/sharedStrings.xml" Id="R8cf912b390194e10" /><Relationship Type="http://schemas.openxmlformats.org/officeDocument/2006/relationships/worksheet" Target="/xl/worksheets/sheet1.xml" Id="R0b2cc71065fc4812" /><Relationship Type="http://schemas.openxmlformats.org/officeDocument/2006/relationships/worksheet" Target="/xl/worksheets/sheet2.xml" Id="R3b4ca6ddcfc44a7e" /><Relationship Type="http://schemas.openxmlformats.org/officeDocument/2006/relationships/worksheet" Target="/xl/worksheets/sheet3.xml" Id="Rf6cb5a2576354ac5" /><Relationship Type="http://schemas.openxmlformats.org/officeDocument/2006/relationships/worksheet" Target="/xl/worksheets/sheet4.xml" Id="Ra1614564ad09498e" /><Relationship Type="http://schemas.openxmlformats.org/officeDocument/2006/relationships/worksheet" Target="/xl/worksheets/sheet5.xml" Id="Rd059ef8b05654191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199999809265137"/>
  <x:cols>
    <x:col min="1" max="1" width="11" style="43" customWidth="1"/>
    <x:col min="2" max="2" width="12.5" style="43" customWidth="1"/>
    <x:col min="3" max="3" width="11.3984375" style="43" customWidth="1"/>
    <x:col min="4" max="4" width="10.3984375" style="43" customWidth="1"/>
    <x:col min="5" max="5" width="10.8984375" style="43" customWidth="1"/>
    <x:col min="6" max="6" width="28.3984375" style="43" customWidth="1"/>
    <x:col min="7" max="7" width="21.59765625" style="43" customWidth="1"/>
    <x:col min="8" max="8" width="9" style="42" customWidth="0"/>
    <x:col min="9" max="9" width="12.3984375" style="42" customWidth="1"/>
    <x:col min="10" max="10" width="9" style="42" customWidth="0"/>
    <x:col min="11" max="11" width="12.69921875" style="42" customWidth="1"/>
    <x:col min="12" max="16384" width="9" style="42" customWidth="0"/>
  </x:cols>
  <x:sheetData>
    <x:row r="1" ht="13.800000190734863">
      <x:c r="A1" s="77" t="s">
        <x:v>0</x:v>
      </x:c>
      <x:c r="B1" s="78">
        <x:v>2026</x:v>
      </x:c>
      <x:c r="C1" s="79" t="s">
        <x:v>1</x:v>
      </x:c>
      <x:c r="D1" s="80" t="s">
        <x:v>2</x:v>
      </x:c>
      <x:c r="E1" s="81"/>
      <x:c r="F1" s="81"/>
      <x:c r="G1" s="81"/>
      <x:c r="H1" s="82"/>
      <x:c r="I1" s="82"/>
    </x:row>
    <x:row r="2" ht="26.25" customHeight="1">
      <x:c r="A2" s="83" t="s">
        <x:v>3</x:v>
      </x:c>
      <x:c r="B2" s="84" t="s">
        <x:v>4</x:v>
      </x:c>
      <x:c r="C2" s="85" t="s">
        <x:v>5</x:v>
      </x:c>
      <x:c r="D2" s="85" t="s">
        <x:v>6</x:v>
      </x:c>
      <x:c r="E2" s="85" t="s">
        <x:v>7</x:v>
      </x:c>
      <x:c r="F2" s="85" t="s">
        <x:v>8</x:v>
      </x:c>
      <x:c r="G2" s="84" t="s">
        <x:v>9</x:v>
      </x:c>
      <x:c r="H2" s="84" t="s">
        <x:v>10</x:v>
      </x:c>
      <x:c r="I2" s="86" t="s">
        <x:v>11</x:v>
      </x:c>
    </x:row>
    <x:row r="3" s="52" customFormat="1" ht="14.100000381469727" customHeight="1">
      <x:c r="A3" s="60" t="e" cm="1">
        <x:f t="array" ref="A3:A32">_xlfn.SEQUENCE('Convalida dati'!F8,1,DATE(TIMING!B1,'Convalida dati'!F4,1))</x:f>
        <x:v>#VALUE!</x:v>
      </x:c>
      <x:c r="B3" s="61" t="e">
        <x:f>IF(A3&lt;&gt;"",CHOOSE(WEEKDAY(A3,2),"Monday","Tuesday","Wednesday","Thursday","Friday","Saturday","Sunday"),"")</x:f>
        <x:v>#VALUE!</x:v>
      </x:c>
      <x:c r="C3" s="61"/>
      <x:c r="D3" s="61"/>
      <x:c r="E3" s="61"/>
      <x:c r="F3" s="61"/>
      <x:c r="G3" s="61"/>
      <x:c r="H3" s="61"/>
      <x:c r="I3" s="63"/>
      <x:c r="K3" s="53"/>
    </x:row>
    <x:row r="4" ht="14.100000381469727" customHeight="1">
      <x:c r="A4" s="60">
        <x:v>46175</x:v>
      </x:c>
      <x:c r="B4" s="61" t="str">
        <x:f t="shared" ref="B4:B33" si="0">IF(A4&lt;&gt;"",CHOOSE(WEEKDAY(A4,2),"Monday","Tuesday","Wednesday","Thursday","Friday","Saturday","Sunday"),"")</x:f>
        <x:v>Tuesday</x:v>
      </x:c>
      <x:c r="C4" s="61"/>
      <x:c r="D4" s="61"/>
      <x:c r="E4" s="61"/>
      <x:c r="F4" s="61"/>
      <x:c r="G4" s="61"/>
      <x:c r="H4" s="61"/>
      <x:c r="I4" s="63"/>
      <x:c r="K4" s="53"/>
    </x:row>
    <x:row r="5" ht="14.100000381469727" customHeight="1">
      <x:c r="A5" s="60">
        <x:v>46176</x:v>
      </x:c>
      <x:c r="B5" s="61" t="str">
        <x:f t="shared" si="0"/>
        <x:v>Wednesday</x:v>
      </x:c>
      <x:c r="C5" s="61"/>
      <x:c r="D5" s="61"/>
      <x:c r="E5" s="61"/>
      <x:c r="F5" s="61"/>
      <x:c r="G5" s="61"/>
      <x:c r="H5" s="61"/>
      <x:c r="I5" s="63"/>
      <x:c r="J5" s="58"/>
      <x:c r="K5" s="53"/>
    </x:row>
    <x:row r="6" ht="14.100000381469727" customHeight="1">
      <x:c r="A6" s="60">
        <x:v>46177</x:v>
      </x:c>
      <x:c r="B6" s="61" t="str">
        <x:f t="shared" si="0"/>
        <x:v>Thursday</x:v>
      </x:c>
      <x:c r="C6" s="61"/>
      <x:c r="D6" s="61"/>
      <x:c r="E6" s="61"/>
      <x:c r="F6" s="61"/>
      <x:c r="G6" s="61"/>
      <x:c r="H6" s="61"/>
      <x:c r="I6" s="63"/>
      <x:c r="K6" s="53"/>
    </x:row>
    <x:row r="7" ht="14.100000381469727" customHeight="1">
      <x:c r="A7" s="60">
        <x:v>46178</x:v>
      </x:c>
      <x:c r="B7" s="61" t="str">
        <x:f t="shared" si="0"/>
        <x:v>Friday</x:v>
      </x:c>
      <x:c r="C7" s="61"/>
      <x:c r="D7" s="61"/>
      <x:c r="E7" s="61"/>
      <x:c r="F7" s="61"/>
      <x:c r="G7" s="61"/>
      <x:c r="H7" s="61"/>
      <x:c r="I7" s="63"/>
      <x:c r="J7" s="52"/>
      <x:c r="K7" s="53"/>
      <x:c r="L7" s="52"/>
    </x:row>
    <x:row r="8" ht="14.100000381469727" customHeight="1">
      <x:c r="A8" s="60">
        <x:v>46179</x:v>
      </x:c>
      <x:c r="B8" s="61" t="str">
        <x:f t="shared" si="0"/>
        <x:v>Saturday</x:v>
      </x:c>
      <x:c r="C8" s="61"/>
      <x:c r="D8" s="61"/>
      <x:c r="E8" s="61"/>
      <x:c r="F8" s="61"/>
      <x:c r="G8" s="61"/>
      <x:c r="H8" s="61"/>
      <x:c r="I8" s="63"/>
      <x:c r="J8" s="52"/>
      <x:c r="K8" s="53"/>
      <x:c r="L8" s="52"/>
    </x:row>
    <x:row r="9" ht="14.100000381469727" customHeight="1">
      <x:c r="A9" s="60">
        <x:v>46180</x:v>
      </x:c>
      <x:c r="B9" s="61" t="str">
        <x:f t="shared" si="0"/>
        <x:v>Sunday</x:v>
      </x:c>
      <x:c r="C9" s="61"/>
      <x:c r="D9" s="61"/>
      <x:c r="E9" s="61"/>
      <x:c r="F9" s="61"/>
      <x:c r="G9" s="61"/>
      <x:c r="H9" s="61"/>
      <x:c r="I9" s="63"/>
      <x:c r="J9" s="52"/>
      <x:c r="K9" s="53"/>
      <x:c r="L9" s="52"/>
    </x:row>
    <x:row r="10" ht="14.100000381469727" customHeight="1">
      <x:c r="A10" s="60">
        <x:v>46181</x:v>
      </x:c>
      <x:c r="B10" s="61" t="str">
        <x:f t="shared" si="0"/>
        <x:v>Monday</x:v>
      </x:c>
      <x:c r="C10" s="61"/>
      <x:c r="D10" s="61"/>
      <x:c r="E10" s="61"/>
      <x:c r="F10" s="61"/>
      <x:c r="G10" s="61"/>
      <x:c r="H10" s="61"/>
      <x:c r="I10" s="63"/>
      <x:c r="J10" s="52"/>
      <x:c r="K10" s="53"/>
      <x:c r="L10" s="52"/>
    </x:row>
    <x:row r="11" ht="14.100000381469727" customHeight="1">
      <x:c r="A11" s="60">
        <x:v>46182</x:v>
      </x:c>
      <x:c r="B11" s="61" t="str">
        <x:f t="shared" si="0"/>
        <x:v>Tuesday</x:v>
      </x:c>
      <x:c r="C11" s="61"/>
      <x:c r="D11" s="61"/>
      <x:c r="E11" s="61"/>
      <x:c r="F11" s="61"/>
      <x:c r="G11" s="61"/>
      <x:c r="H11" s="61"/>
      <x:c r="I11" s="63"/>
      <x:c r="J11" s="52"/>
      <x:c r="K11" s="53"/>
      <x:c r="L11" s="52"/>
    </x:row>
    <x:row r="12" ht="14.100000381469727" customHeight="1">
      <x:c r="A12" s="60">
        <x:v>46183</x:v>
      </x:c>
      <x:c r="B12" s="61" t="str">
        <x:f t="shared" si="0"/>
        <x:v>Wednesday</x:v>
      </x:c>
      <x:c r="C12" s="61"/>
      <x:c r="D12" s="61"/>
      <x:c r="E12" s="61"/>
      <x:c r="F12" s="61"/>
      <x:c r="G12" s="61"/>
      <x:c r="H12" s="61"/>
      <x:c r="I12" s="63"/>
      <x:c r="J12" s="52"/>
      <x:c r="K12" s="53"/>
      <x:c r="L12" s="52"/>
    </x:row>
    <x:row r="13" ht="14.100000381469727" customHeight="1">
      <x:c r="A13" s="60">
        <x:v>46184</x:v>
      </x:c>
      <x:c r="B13" s="61" t="str">
        <x:f t="shared" si="0"/>
        <x:v>Thursday</x:v>
      </x:c>
      <x:c r="C13" s="61"/>
      <x:c r="D13" s="61"/>
      <x:c r="E13" s="61"/>
      <x:c r="F13" s="61"/>
      <x:c r="G13" s="61"/>
      <x:c r="H13" s="61"/>
      <x:c r="I13" s="63"/>
      <x:c r="J13" s="52"/>
      <x:c r="K13" s="53"/>
      <x:c r="L13" s="52"/>
    </x:row>
    <x:row r="14" ht="14.100000381469727" customHeight="1">
      <x:c r="A14" s="60">
        <x:v>46185</x:v>
      </x:c>
      <x:c r="B14" s="61" t="str">
        <x:f t="shared" si="0"/>
        <x:v>Friday</x:v>
      </x:c>
      <x:c r="C14" s="61"/>
      <x:c r="D14" s="61"/>
      <x:c r="E14" s="61"/>
      <x:c r="F14" s="61"/>
      <x:c r="G14" s="61"/>
      <x:c r="H14" s="61"/>
      <x:c r="I14" s="63"/>
      <x:c r="J14" s="52"/>
      <x:c r="K14" s="53"/>
      <x:c r="L14" s="52"/>
    </x:row>
    <x:row r="15" ht="14.100000381469727" customHeight="1">
      <x:c r="A15" s="60">
        <x:v>46186</x:v>
      </x:c>
      <x:c r="B15" s="61" t="str">
        <x:f t="shared" si="0"/>
        <x:v>Saturday</x:v>
      </x:c>
      <x:c r="C15" s="61"/>
      <x:c r="D15" s="61"/>
      <x:c r="E15" s="61"/>
      <x:c r="F15" s="61"/>
      <x:c r="G15" s="61"/>
      <x:c r="H15" s="61"/>
      <x:c r="I15" s="63"/>
      <x:c r="J15" s="52"/>
      <x:c r="K15" s="53"/>
      <x:c r="L15" s="52"/>
    </x:row>
    <x:row r="16" ht="14.100000381469727" customHeight="1">
      <x:c r="A16" s="60">
        <x:v>46187</x:v>
      </x:c>
      <x:c r="B16" s="61" t="str">
        <x:f t="shared" si="0"/>
        <x:v>Sunday</x:v>
      </x:c>
      <x:c r="C16" s="61"/>
      <x:c r="D16" s="61"/>
      <x:c r="E16" s="61"/>
      <x:c r="F16" s="61"/>
      <x:c r="G16" s="61"/>
      <x:c r="H16" s="61"/>
      <x:c r="I16" s="63"/>
      <x:c r="J16" s="52"/>
      <x:c r="K16" s="53"/>
      <x:c r="L16" s="52"/>
    </x:row>
    <x:row r="17" ht="14.100000381469727" customHeight="1">
      <x:c r="A17" s="60">
        <x:v>46188</x:v>
      </x:c>
      <x:c r="B17" s="61" t="str">
        <x:f t="shared" si="0"/>
        <x:v>Monday</x:v>
      </x:c>
      <x:c r="C17" s="61"/>
      <x:c r="D17" s="61"/>
      <x:c r="E17" s="61"/>
      <x:c r="F17" s="61"/>
      <x:c r="G17" s="61"/>
      <x:c r="H17" s="61"/>
      <x:c r="I17" s="63"/>
      <x:c r="J17" s="52"/>
      <x:c r="K17" s="53"/>
      <x:c r="L17" s="52"/>
    </x:row>
    <x:row r="18" ht="14.100000381469727" customHeight="1">
      <x:c r="A18" s="60">
        <x:v>46189</x:v>
      </x:c>
      <x:c r="B18" s="61" t="str">
        <x:f t="shared" si="0"/>
        <x:v>Tuesday</x:v>
      </x:c>
      <x:c r="C18" s="61"/>
      <x:c r="D18" s="60"/>
      <x:c r="E18" s="61"/>
      <x:c r="F18" s="61"/>
      <x:c r="G18" s="61"/>
      <x:c r="H18" s="61"/>
      <x:c r="I18" s="63"/>
      <x:c r="J18" s="52"/>
      <x:c r="K18" s="53"/>
      <x:c r="L18" s="52"/>
    </x:row>
    <x:row r="19" ht="14.100000381469727" customHeight="1">
      <x:c r="A19" s="60">
        <x:v>46190</x:v>
      </x:c>
      <x:c r="B19" s="61" t="str">
        <x:f t="shared" si="0"/>
        <x:v>Wednesday</x:v>
      </x:c>
      <x:c r="C19" s="61"/>
      <x:c r="D19" s="61"/>
      <x:c r="E19" s="61"/>
      <x:c r="F19" s="61"/>
      <x:c r="G19" s="61"/>
      <x:c r="H19" s="61"/>
      <x:c r="I19" s="63"/>
      <x:c r="J19" s="52"/>
      <x:c r="K19" s="53"/>
      <x:c r="L19" s="52"/>
    </x:row>
    <x:row r="20" ht="14.100000381469727" customHeight="1">
      <x:c r="A20" s="60">
        <x:v>46191</x:v>
      </x:c>
      <x:c r="B20" s="61" t="str">
        <x:f t="shared" si="0"/>
        <x:v>Thursday</x:v>
      </x:c>
      <x:c r="C20" s="61"/>
      <x:c r="D20" s="61"/>
      <x:c r="E20" s="61"/>
      <x:c r="F20" s="61"/>
      <x:c r="G20" s="61"/>
      <x:c r="H20" s="61"/>
      <x:c r="I20" s="63"/>
      <x:c r="J20" s="52"/>
      <x:c r="K20" s="53"/>
      <x:c r="L20" s="52"/>
    </x:row>
    <x:row r="21" ht="14.100000381469727" customHeight="1">
      <x:c r="A21" s="60">
        <x:v>46192</x:v>
      </x:c>
      <x:c r="B21" s="61" t="str">
        <x:f t="shared" si="0"/>
        <x:v>Friday</x:v>
      </x:c>
      <x:c r="C21" s="61"/>
      <x:c r="D21" s="61"/>
      <x:c r="E21" s="61"/>
      <x:c r="F21" s="61"/>
      <x:c r="G21" s="61"/>
      <x:c r="H21" s="61"/>
      <x:c r="I21" s="63"/>
      <x:c r="K21" s="53"/>
    </x:row>
    <x:row r="22" ht="14.100000381469727" customHeight="1">
      <x:c r="A22" s="60">
        <x:v>46193</x:v>
      </x:c>
      <x:c r="B22" s="61" t="str">
        <x:f t="shared" si="0"/>
        <x:v>Saturday</x:v>
      </x:c>
      <x:c r="C22" s="61"/>
      <x:c r="D22" s="61"/>
      <x:c r="E22" s="61"/>
      <x:c r="F22" s="92"/>
      <x:c r="G22" s="61"/>
      <x:c r="H22" s="61"/>
      <x:c r="I22" s="63"/>
      <x:c r="K22" s="53"/>
    </x:row>
    <x:row r="23" ht="14.100000381469727" customHeight="1">
      <x:c r="A23" s="60">
        <x:v>46194</x:v>
      </x:c>
      <x:c r="B23" s="61" t="str">
        <x:f t="shared" si="0"/>
        <x:v>Sunday</x:v>
      </x:c>
      <x:c r="C23" s="61"/>
      <x:c r="D23" s="61"/>
      <x:c r="E23" s="61"/>
      <x:c r="F23" s="61"/>
      <x:c r="G23" s="61"/>
      <x:c r="H23" s="61"/>
      <x:c r="I23" s="63"/>
      <x:c r="K23" s="53"/>
    </x:row>
    <x:row r="24" ht="14.100000381469727" customHeight="1">
      <x:c r="A24" s="60">
        <x:v>46195</x:v>
      </x:c>
      <x:c r="B24" s="61" t="str">
        <x:f t="shared" si="0"/>
        <x:v>Monday</x:v>
      </x:c>
      <x:c r="C24" s="61"/>
      <x:c r="D24" s="61"/>
      <x:c r="E24" s="61"/>
      <x:c r="F24" s="61"/>
      <x:c r="G24" s="61"/>
      <x:c r="H24" s="61"/>
      <x:c r="I24" s="63"/>
      <x:c r="K24" s="53"/>
    </x:row>
    <x:row r="25" ht="14.100000381469727" customHeight="1">
      <x:c r="A25" s="60">
        <x:v>46196</x:v>
      </x:c>
      <x:c r="B25" s="61" t="str">
        <x:f t="shared" si="0"/>
        <x:v>Tuesday</x:v>
      </x:c>
      <x:c r="C25" s="61"/>
      <x:c r="D25" s="61"/>
      <x:c r="E25" s="61"/>
      <x:c r="F25" s="61"/>
      <x:c r="G25" s="61"/>
      <x:c r="H25" s="61"/>
      <x:c r="I25" s="63"/>
      <x:c r="K25" s="53"/>
    </x:row>
    <x:row r="26" ht="14.100000381469727" customHeight="1">
      <x:c r="A26" s="60">
        <x:v>46197</x:v>
      </x:c>
      <x:c r="B26" s="61" t="str">
        <x:f t="shared" si="0"/>
        <x:v>Wednesday</x:v>
      </x:c>
      <x:c r="C26" s="61"/>
      <x:c r="D26" s="61"/>
      <x:c r="E26" s="61"/>
      <x:c r="F26" s="61"/>
      <x:c r="G26" s="61"/>
      <x:c r="H26" s="61"/>
      <x:c r="I26" s="63"/>
      <x:c r="K26" s="53"/>
    </x:row>
    <x:row r="27" ht="14.100000381469727" customHeight="1">
      <x:c r="A27" s="60">
        <x:v>46198</x:v>
      </x:c>
      <x:c r="B27" s="61" t="str">
        <x:f t="shared" si="0"/>
        <x:v>Thursday</x:v>
      </x:c>
      <x:c r="C27" s="61"/>
      <x:c r="D27" s="61"/>
      <x:c r="E27" s="61"/>
      <x:c r="F27" s="61"/>
      <x:c r="G27" s="61"/>
      <x:c r="H27" s="61"/>
      <x:c r="I27" s="63"/>
      <x:c r="K27" s="53"/>
    </x:row>
    <x:row r="28" ht="14.100000381469727" customHeight="1">
      <x:c r="A28" s="60">
        <x:v>46199</x:v>
      </x:c>
      <x:c r="B28" s="61" t="str">
        <x:f t="shared" si="0"/>
        <x:v>Friday</x:v>
      </x:c>
      <x:c r="C28" s="61"/>
      <x:c r="D28" s="61"/>
      <x:c r="E28" s="61"/>
      <x:c r="F28" s="61"/>
      <x:c r="G28" s="61"/>
      <x:c r="H28" s="61"/>
      <x:c r="I28" s="63"/>
      <x:c r="K28" s="53"/>
    </x:row>
    <x:row r="29" ht="14.100000381469727" customHeight="1">
      <x:c r="A29" s="60">
        <x:v>46200</x:v>
      </x:c>
      <x:c r="B29" s="61" t="str">
        <x:f t="shared" si="0"/>
        <x:v>Saturday</x:v>
      </x:c>
      <x:c r="C29" s="61"/>
      <x:c r="D29" s="61"/>
      <x:c r="E29" s="61"/>
      <x:c r="F29" s="61"/>
      <x:c r="G29" s="61"/>
      <x:c r="H29" s="61"/>
      <x:c r="I29" s="63"/>
      <x:c r="K29" s="53"/>
    </x:row>
    <x:row r="30" ht="14.100000381469727" customHeight="1">
      <x:c r="A30" s="60">
        <x:v>46201</x:v>
      </x:c>
      <x:c r="B30" s="61" t="str">
        <x:f t="shared" si="0"/>
        <x:v>Sunday</x:v>
      </x:c>
      <x:c r="C30" s="61"/>
      <x:c r="D30" s="61"/>
      <x:c r="E30" s="61"/>
      <x:c r="F30" s="61"/>
      <x:c r="G30" s="61"/>
      <x:c r="H30" s="61"/>
      <x:c r="I30" s="63"/>
      <x:c r="K30" s="53"/>
    </x:row>
    <x:row r="31" ht="14.100000381469727" customHeight="1">
      <x:c r="A31" s="60">
        <x:v>46202</x:v>
      </x:c>
      <x:c r="B31" s="61" t="str">
        <x:f>IF(A31&lt;&gt;"",CHOOSE(WEEKDAY(A31,2),"Monday","Tuesday","Wednesday","Thursday","Friday","Saturday","Sunday"),"")</x:f>
        <x:v>Monday</x:v>
      </x:c>
      <x:c r="C31" s="61"/>
      <x:c r="D31" s="61"/>
      <x:c r="E31" s="61"/>
      <x:c r="F31" s="62"/>
      <x:c r="G31" s="61"/>
      <x:c r="H31" s="61"/>
      <x:c r="I31" s="63"/>
      <x:c r="K31" s="53"/>
    </x:row>
    <x:row r="32" ht="14.100000381469727" customHeight="1">
      <x:c r="A32" s="60">
        <x:v>46203</x:v>
      </x:c>
      <x:c r="B32" s="61" t="str">
        <x:f t="shared" si="0"/>
        <x:v>Tuesday</x:v>
      </x:c>
      <x:c r="C32" s="61"/>
      <x:c r="D32" s="61"/>
      <x:c r="E32" s="61"/>
      <x:c r="F32" s="62"/>
      <x:c r="G32" s="61"/>
      <x:c r="H32" s="61"/>
      <x:c r="I32" s="63"/>
      <x:c r="K32" s="53"/>
    </x:row>
    <x:row r="33" ht="14.100000381469727" customHeight="1">
      <x:c r="A33" s="60"/>
      <x:c r="B33" s="61" t="str">
        <x:f t="shared" si="0"/>
      </x:c>
      <x:c r="C33" s="61"/>
      <x:c r="D33" s="61"/>
      <x:c r="E33" s="61"/>
      <x:c r="F33" s="62"/>
      <x:c r="G33" s="61"/>
      <x:c r="H33" s="61"/>
      <x:c r="I33" s="63"/>
      <x:c r="K33" s="53"/>
    </x:row>
    <x:row r="34" ht="14.100000381469727" customHeight="1">
      <x:c r="A34" s="44"/>
      <x:c r="B34" s="44"/>
      <x:c r="C34" s="44"/>
      <x:c r="D34" s="44"/>
      <x:c r="E34" s="44"/>
      <x:c r="F34" s="44"/>
      <x:c r="G34" s="44"/>
      <x:c r="K34" s="53"/>
    </x:row>
    <x:row r="35" ht="15.600000381469727">
      <x:c r="A35" s="44"/>
      <x:c r="B35" s="44"/>
      <x:c r="C35" s="44"/>
      <x:c r="D35" s="44"/>
      <x:c r="E35" s="44"/>
      <x:c r="F35" s="44"/>
      <x:c r="G35" s="44"/>
      <x:c r="H35" s="64" t="s">
        <x:v>12</x:v>
      </x:c>
      <x:c r="I35" s="65" t="s">
        <x:v>12</x:v>
      </x:c>
    </x:row>
    <x:row r="36" ht="16.200000762939453">
      <x:c r="H36" s="66" t="n">
        <x:f>SUM(H3:H33)</x:f>
        <x:v>0</x:v>
      </x:c>
      <x:c r="I36" s="67" t="n">
        <x:f>SUM(I3:I33)</x:f>
        <x:v>0</x:v>
      </x:c>
    </x:row>
  </x:sheetData>
  <x:conditionalFormatting sqref="A3:I33">
    <x:cfRule type="expression" dxfId="5" priority="1">
      <x:formula>IF($B3&lt;&gt;"",FALSE,TRUE)</x:formula>
    </x:cfRule>
    <x:cfRule type="expression" dxfId="4" priority="2">
      <x:formula>WEEKDAY($A3,2)=6</x:formula>
    </x:cfRule>
    <x:cfRule type="expression" dxfId="3" priority="4">
      <x:formula>WEEKDAY($A3,2)=7</x:formula>
    </x:cfRule>
    <x:cfRule type="expression" dxfId="2" priority="5">
      <x:formula>IF($B3&lt;&gt;"",TRUE,FALSE)</x:formula>
    </x:cfRule>
  </x:conditionalFormatting>
  <x:conditionalFormatting sqref="A31:I33">
    <x:cfRule type="containsBlanks" dxfId="1" priority="3">
      <x:formula>LEN(TRIM(A31))=0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" defaultRowHeight="14.399999618530273"/>
  <x:cols>
    <x:col min="1" max="1" width="23.59765625" style="1" customWidth="1"/>
    <x:col min="2" max="7" width="13.09765625" style="1" customWidth="1"/>
    <x:col min="8" max="8" width="13" style="1" customWidth="1"/>
    <x:col min="9" max="11" width="10.3984375" style="1" customWidth="1"/>
    <x:col min="12" max="16384" width="8" style="1" customWidth="0"/>
  </x:cols>
  <x:sheetData>
    <x:row r="1" ht="15"/>
    <x:row r="2" ht="35.099998474121094" customHeight="1">
      <x:c r="A2" s="122" t="s">
        <x:v>13</x:v>
      </x:c>
      <x:c r="B2" s="123"/>
      <x:c r="C2" s="123"/>
      <x:c r="D2" s="123"/>
      <x:c r="E2" s="123"/>
      <x:c r="F2" s="123"/>
      <x:c r="G2" s="123"/>
      <x:c r="H2" s="124"/>
      <x:c r="I2" s="2"/>
      <x:c r="J2" s="2"/>
      <x:c r="K2" s="2"/>
      <x:c r="L2" s="2"/>
      <x:c r="M2" s="2"/>
      <x:c r="N2" s="2"/>
    </x:row>
    <x:row r="3" ht="30" customHeight="1">
      <x:c r="A3" s="9" t="s">
        <x:v>14</x:v>
      </x:c>
      <x:c r="B3" s="20" t="s">
        <x:v>15</x:v>
      </x:c>
      <x:c r="C3" s="20"/>
      <x:c r="D3" s="24" t="s">
        <x:v>16</x:v>
      </x:c>
      <x:c r="E3" s="20"/>
      <x:c r="F3" s="19" t="s">
        <x:v>17</x:v>
      </x:c>
      <x:c r="G3" s="23" t="s">
        <x:v>18</x:v>
      </x:c>
      <x:c r="H3" s="21"/>
      <x:c r="I3" s="3"/>
      <x:c r="J3" s="3"/>
      <x:c r="K3" s="3"/>
      <x:c r="L3" s="3"/>
      <x:c r="M3" s="3"/>
      <x:c r="N3" s="3"/>
    </x:row>
    <x:row r="4" ht="21.600000381469727" customHeight="1">
      <x:c r="A4" s="131"/>
      <x:c r="B4" s="73" t="s">
        <x:v>19</x:v>
      </x:c>
      <x:c r="C4" s="73" t="s">
        <x:v>20</x:v>
      </x:c>
      <x:c r="D4" s="73" t="s">
        <x:v>21</x:v>
      </x:c>
      <x:c r="E4" s="73" t="s">
        <x:v>22</x:v>
      </x:c>
      <x:c r="F4" s="73" t="s">
        <x:v>23</x:v>
      </x:c>
      <x:c r="G4" s="73" t="s">
        <x:v>24</x:v>
      </x:c>
      <x:c r="H4" s="73" t="s">
        <x:v>25</x:v>
      </x:c>
      <x:c r="I4" s="3"/>
      <x:c r="J4" s="3"/>
      <x:c r="K4" s="3"/>
      <x:c r="L4" s="3"/>
      <x:c r="M4" s="3"/>
      <x:c r="N4" s="3"/>
    </x:row>
    <x:row r="5" ht="21.600000381469727" customHeight="1">
      <x:c r="A5" s="132"/>
      <x:c r="B5" s="73" t="e">
        <x:f>IF(B4=TIMING!$B3,TIMING!$A3,"")</x:f>
        <x:v>#VALUE!</x:v>
      </x:c>
      <x:c r="C5" s="73" t="e">
        <x:f>IF(C4=TIMING!$B3,TIMING!$A3,B5+1)</x:f>
        <x:v>#VALUE!</x:v>
      </x:c>
      <x:c r="D5" s="73" t="e">
        <x:f>IF(D4=TIMING!$B3,TIMING!$A3,C5+1)</x:f>
        <x:v>#VALUE!</x:v>
      </x:c>
      <x:c r="E5" s="73" t="e">
        <x:f>IF(E4=TIMING!$B3,TIMING!$A3,D5+1)</x:f>
        <x:v>#VALUE!</x:v>
      </x:c>
      <x:c r="F5" s="73" t="e">
        <x:f>IF(F4=TIMING!$B3,TIMING!$A3,E5+1)</x:f>
        <x:v>#VALUE!</x:v>
      </x:c>
      <x:c r="G5" s="73" t="e">
        <x:f>IF(G4=TIMING!$B3,TIMING!$A3,F5+1)</x:f>
        <x:v>#VALUE!</x:v>
      </x:c>
      <x:c r="H5" s="73"/>
      <x:c r="M5" s="3"/>
      <x:c r="N5" s="3"/>
    </x:row>
    <x:row r="6" ht="18.600000381469727" customHeight="1">
      <x:c r="A6" s="12" t="s">
        <x:v>26</x:v>
      </x:c>
      <x:c r="B6" s="5"/>
      <x:c r="C6" s="5"/>
      <x:c r="D6" s="69"/>
      <x:c r="E6" s="5"/>
      <x:c r="F6" s="98"/>
      <x:c r="G6" s="98"/>
      <x:c r="H6" s="98"/>
    </x:row>
    <x:row r="7" ht="18.600000381469727" customHeight="1">
      <x:c r="A7" s="14" t="s">
        <x:v>27</x:v>
      </x:c>
      <x:c r="B7" s="6"/>
      <x:c r="C7" s="6"/>
      <x:c r="D7" s="96"/>
      <x:c r="E7" s="96"/>
      <x:c r="F7" s="96"/>
      <x:c r="G7" s="6"/>
      <x:c r="H7" s="15"/>
    </x:row>
    <x:row r="8" ht="18.600000381469727" customHeight="1">
      <x:c r="A8" s="12" t="s">
        <x:v>28</x:v>
      </x:c>
      <x:c r="B8" s="7"/>
      <x:c r="C8" s="7"/>
      <x:c r="D8" s="98"/>
      <x:c r="E8" s="98"/>
      <x:c r="F8" s="98"/>
      <x:c r="G8" s="7"/>
      <x:c r="H8" s="16"/>
    </x:row>
    <x:row r="9" ht="18.600000381469727" customHeight="1">
      <x:c r="A9" s="14" t="s">
        <x:v>29</x:v>
      </x:c>
      <x:c r="B9" s="6"/>
      <x:c r="C9" s="96"/>
      <x:c r="D9" s="96"/>
      <x:c r="E9" s="96"/>
      <x:c r="F9" s="6"/>
      <x:c r="G9" s="6"/>
      <x:c r="H9" s="15"/>
    </x:row>
    <x:row r="10" ht="18.600000381469727" customHeight="1">
      <x:c r="A10" s="12" t="s">
        <x:v>30</x:v>
      </x:c>
      <x:c r="B10" s="7"/>
      <x:c r="C10" s="7"/>
      <x:c r="D10" s="7"/>
      <x:c r="E10" s="7"/>
      <x:c r="F10" s="7"/>
      <x:c r="G10" s="7"/>
      <x:c r="H10" s="16"/>
    </x:row>
    <x:row r="11" ht="18.600000381469727" customHeight="1">
      <x:c r="A11" s="14" t="s">
        <x:v>31</x:v>
      </x:c>
      <x:c r="B11" s="6"/>
      <x:c r="C11" s="6"/>
      <x:c r="D11" s="6"/>
      <x:c r="E11" s="6"/>
      <x:c r="F11" s="104"/>
      <x:c r="G11" s="6"/>
      <x:c r="H11" s="15"/>
    </x:row>
    <x:row r="12" ht="18.600000381469727" customHeight="1">
      <x:c r="A12" s="12" t="s">
        <x:v>32</x:v>
      </x:c>
      <x:c r="B12" s="7"/>
      <x:c r="C12" s="7"/>
      <x:c r="D12" s="7"/>
      <x:c r="E12" s="7"/>
      <x:c r="F12" s="7"/>
      <x:c r="G12" s="7"/>
      <x:c r="H12" s="16"/>
    </x:row>
    <x:row r="13" ht="18.600000381469727" customHeight="1">
      <x:c r="A13" s="32" t="s">
        <x:v>33</x:v>
      </x:c>
      <x:c r="B13" s="33"/>
      <x:c r="C13" s="33"/>
      <x:c r="D13" s="33"/>
      <x:c r="E13" s="33"/>
      <x:c r="F13" s="33"/>
      <x:c r="G13" s="33"/>
      <x:c r="H13" s="34"/>
    </x:row>
    <x:row r="14" ht="18.600000381469727" customHeight="1">
      <x:c r="A14" s="12" t="s">
        <x:v>34</x:v>
      </x:c>
      <x:c r="B14" s="7"/>
      <x:c r="C14" s="7"/>
      <x:c r="D14" s="98"/>
      <x:c r="E14" s="7"/>
      <x:c r="F14" s="7"/>
      <x:c r="G14" s="7"/>
      <x:c r="H14" s="16"/>
    </x:row>
    <x:row r="15" ht="18.600000381469727" customHeight="1">
      <x:c r="A15" s="14" t="s">
        <x:v>35</x:v>
      </x:c>
      <x:c r="B15" s="6"/>
      <x:c r="C15" s="6"/>
      <x:c r="D15" s="6"/>
      <x:c r="E15" s="6"/>
      <x:c r="F15" s="6"/>
      <x:c r="G15" s="6"/>
      <x:c r="H15" s="15"/>
    </x:row>
    <x:row r="16" ht="18.600000381469727" customHeight="1">
      <x:c r="A16" s="12" t="s">
        <x:v>36</x:v>
      </x:c>
      <x:c r="B16" s="7"/>
      <x:c r="C16" s="7"/>
      <x:c r="D16" s="7"/>
      <x:c r="E16" s="7"/>
      <x:c r="F16" s="7"/>
      <x:c r="G16" s="7"/>
      <x:c r="H16" s="16"/>
    </x:row>
    <x:row r="17" ht="18.600000381469727" customHeight="1">
      <x:c r="A17" s="14" t="s">
        <x:v>37</x:v>
      </x:c>
      <x:c r="B17" s="6"/>
      <x:c r="C17" s="6"/>
      <x:c r="D17" s="6"/>
      <x:c r="E17" s="6"/>
      <x:c r="F17" s="6"/>
      <x:c r="G17" s="6"/>
      <x:c r="H17" s="15"/>
    </x:row>
    <x:row r="18" ht="18.600000381469727" customHeight="1">
      <x:c r="A18" s="127" t="s">
        <x:v>38</x:v>
      </x:c>
      <x:c r="B18" s="6"/>
      <x:c r="C18" s="6"/>
      <x:c r="D18" s="96"/>
      <x:c r="E18" s="6"/>
      <x:c r="F18" s="6"/>
      <x:c r="G18" s="6"/>
      <x:c r="H18" s="15"/>
    </x:row>
    <x:row r="19" ht="18.600000381469727" customHeight="1">
      <x:c r="A19" s="128"/>
      <x:c r="B19" s="10"/>
      <x:c r="C19" s="10"/>
      <x:c r="D19" s="10"/>
      <x:c r="E19" s="10"/>
      <x:c r="F19" s="10"/>
      <x:c r="G19" s="10"/>
      <x:c r="H19" s="17"/>
    </x:row>
    <x:row r="20" ht="18.600000381469727" customHeight="1">
      <x:c r="A20" s="12" t="s">
        <x:v>39</x:v>
      </x:c>
      <x:c r="B20" s="7"/>
      <x:c r="C20" s="7"/>
      <x:c r="D20" s="7"/>
      <x:c r="E20" s="7"/>
      <x:c r="F20" s="7"/>
      <x:c r="G20" s="7"/>
      <x:c r="H20" s="16"/>
    </x:row>
    <x:row r="21" ht="18.600000381469727" customHeight="1">
      <x:c r="A21" s="14" t="s">
        <x:v>40</x:v>
      </x:c>
      <x:c r="B21" s="6"/>
      <x:c r="C21" s="6"/>
      <x:c r="D21" s="6"/>
      <x:c r="E21" s="6"/>
      <x:c r="F21" s="6"/>
      <x:c r="G21" s="6"/>
      <x:c r="H21" s="15"/>
    </x:row>
    <x:row r="22" ht="18.600000381469727" customHeight="1">
      <x:c r="A22" s="12" t="s">
        <x:v>41</x:v>
      </x:c>
      <x:c r="B22" s="7" t="n">
        <x:f t="shared" ref="B22:H22" si="0">SUM(B6:B21)</x:f>
        <x:v>0</x:v>
      </x:c>
      <x:c r="C22" s="7">
        <x:f t="shared" si="0"/>
        <x:v>0</x:v>
      </x:c>
      <x:c r="D22" s="7">
        <x:f t="shared" si="0"/>
        <x:v>206.25</x:v>
      </x:c>
      <x:c r="E22" s="7">
        <x:f t="shared" si="0"/>
        <x:v>29.799999999999997</x:v>
      </x:c>
      <x:c r="F22" s="7">
        <x:f t="shared" si="0"/>
        <x:v>329.22</x:v>
      </x:c>
      <x:c r="G22" s="7">
        <x:f t="shared" si="0"/>
        <x:v>0</x:v>
      </x:c>
      <x:c r="H22" s="27">
        <x:f t="shared" si="0"/>
        <x:v>0</x:v>
      </x:c>
    </x:row>
    <x:row r="23" ht="18.600000381469727" customHeight="1">
      <x:c r="A23" s="18" t="s">
        <x:v>42</x:v>
      </x:c>
      <x:c r="B23" s="129"/>
      <x:c r="C23" s="130"/>
      <x:c r="D23" s="130"/>
      <x:c r="E23" s="130"/>
      <x:c r="F23" s="130"/>
      <x:c r="G23" s="130"/>
      <x:c r="H23" s="8" t="n">
        <x:f>SUM(B22:H22)</x:f>
        <x:v>565.27</x:v>
      </x:c>
    </x:row>
    <x:row r="24">
      <x:c r="A24" s="116" t="s">
        <x:v>43</x:v>
      </x:c>
      <x:c r="B24" s="117"/>
      <x:c r="C24" s="117"/>
      <x:c r="D24" s="117"/>
      <x:c r="E24" s="117"/>
      <x:c r="F24" s="117"/>
      <x:c r="G24" s="117"/>
      <x:c r="H24" s="118"/>
    </x:row>
    <x:row r="25" ht="15">
      <x:c r="A25" s="119"/>
      <x:c r="B25" s="120"/>
      <x:c r="C25" s="120"/>
      <x:c r="D25" s="120"/>
      <x:c r="E25" s="120"/>
      <x:c r="F25" s="120"/>
      <x:c r="G25" s="120"/>
      <x:c r="H25" s="121"/>
    </x:row>
    <x:row r="26" ht="15"/>
    <x:row r="27" ht="35.099998474121094" customHeight="1">
      <x:c r="A27" s="122" t="s">
        <x:v>13</x:v>
      </x:c>
      <x:c r="B27" s="123"/>
      <x:c r="C27" s="123"/>
      <x:c r="D27" s="123"/>
      <x:c r="E27" s="123"/>
      <x:c r="F27" s="123"/>
      <x:c r="G27" s="123"/>
      <x:c r="H27" s="124"/>
      <x:c r="I27" s="2"/>
      <x:c r="J27" s="2"/>
      <x:c r="K27" s="2"/>
      <x:c r="L27" s="2"/>
      <x:c r="M27" s="2"/>
      <x:c r="N27" s="2"/>
    </x:row>
    <x:row r="28" ht="30" customHeight="1">
      <x:c r="A28" s="9" t="s">
        <x:v>14</x:v>
      </x:c>
      <x:c r="B28" s="20" t="s">
        <x:v>15</x:v>
      </x:c>
      <x:c r="C28" s="20"/>
      <x:c r="D28" s="24" t="s">
        <x:v>16</x:v>
      </x:c>
      <x:c r="E28" s="20"/>
      <x:c r="F28" s="19" t="s">
        <x:v>17</x:v>
      </x:c>
      <x:c r="G28" s="23" t="s">
        <x:v>18</x:v>
      </x:c>
      <x:c r="H28" s="21"/>
      <x:c r="I28" s="3"/>
      <x:c r="J28" s="3"/>
      <x:c r="K28" s="3"/>
      <x:c r="L28" s="3"/>
      <x:c r="M28" s="3"/>
      <x:c r="N28" s="3"/>
    </x:row>
    <x:row r="29" ht="21.600000381469727" customHeight="1">
      <x:c r="A29" s="125"/>
      <x:c r="B29" s="73" t="s">
        <x:v>19</x:v>
      </x:c>
      <x:c r="C29" s="73" t="s">
        <x:v>20</x:v>
      </x:c>
      <x:c r="D29" s="73" t="s">
        <x:v>21</x:v>
      </x:c>
      <x:c r="E29" s="73" t="s">
        <x:v>22</x:v>
      </x:c>
      <x:c r="F29" s="73" t="s">
        <x:v>23</x:v>
      </x:c>
      <x:c r="G29" s="73" t="s">
        <x:v>24</x:v>
      </x:c>
      <x:c r="H29" s="73" t="s">
        <x:v>25</x:v>
      </x:c>
      <x:c r="K29" s="3"/>
      <x:c r="L29" s="3"/>
      <x:c r="M29" s="3"/>
      <x:c r="N29" s="3"/>
    </x:row>
    <x:row r="30" ht="21.600000381469727" customHeight="1">
      <x:c r="A30" s="126"/>
      <x:c r="B30" s="73" t="e">
        <x:f>G5+2</x:f>
        <x:v>#VALUE!</x:v>
      </x:c>
      <x:c r="C30" s="73" t="e">
        <x:f>B30+1</x:f>
        <x:v>#VALUE!</x:v>
      </x:c>
      <x:c r="D30" s="73" t="e">
        <x:f t="shared" ref="D30:H30" si="1">C30+1</x:f>
        <x:v>#VALUE!</x:v>
      </x:c>
      <x:c r="E30" s="73">
        <x:f t="shared" si="1"/>
        <x:v>46184</x:v>
      </x:c>
      <x:c r="F30" s="73">
        <x:f t="shared" si="1"/>
        <x:v>46185</x:v>
      </x:c>
      <x:c r="G30" s="73">
        <x:f t="shared" si="1"/>
        <x:v>46186</x:v>
      </x:c>
      <x:c r="H30" s="73">
        <x:f t="shared" si="1"/>
        <x:v>46187</x:v>
      </x:c>
      <x:c r="M30" s="3"/>
      <x:c r="N30" s="3"/>
    </x:row>
    <x:row r="31" ht="18.600000381469727" customHeight="1">
      <x:c r="A31" s="12" t="s">
        <x:v>26</x:v>
      </x:c>
      <x:c r="B31" s="88"/>
      <x:c r="C31" s="88"/>
      <x:c r="D31" s="88"/>
      <x:c r="E31" s="94"/>
      <x:c r="F31" s="94"/>
      <x:c r="G31" s="94"/>
      <x:c r="H31" s="95"/>
    </x:row>
    <x:row r="32" ht="18.600000381469727" customHeight="1">
      <x:c r="A32" s="14" t="s">
        <x:v>27</x:v>
      </x:c>
      <x:c r="B32" s="96"/>
      <x:c r="C32" s="87"/>
      <x:c r="D32" s="87"/>
      <x:c r="E32" s="96"/>
      <x:c r="F32" s="96"/>
      <x:c r="G32" s="96"/>
      <x:c r="H32" s="97"/>
    </x:row>
    <x:row r="33" ht="18.600000381469727" customHeight="1">
      <x:c r="A33" s="12" t="s">
        <x:v>28</x:v>
      </x:c>
      <x:c r="B33" s="89"/>
      <x:c r="C33" s="98"/>
      <x:c r="D33" s="98"/>
      <x:c r="E33" s="98"/>
      <x:c r="F33" s="98"/>
      <x:c r="G33" s="98"/>
      <x:c r="H33" s="99"/>
    </x:row>
    <x:row r="34" ht="18.600000381469727" customHeight="1">
      <x:c r="A34" s="14" t="s">
        <x:v>29</x:v>
      </x:c>
      <x:c r="B34" s="96"/>
      <x:c r="C34" s="96"/>
      <x:c r="D34" s="96"/>
      <x:c r="E34" s="96"/>
      <x:c r="F34" s="96"/>
      <x:c r="G34" s="96"/>
      <x:c r="H34" s="97"/>
    </x:row>
    <x:row r="35" ht="18.600000381469727" customHeight="1">
      <x:c r="A35" s="12" t="s">
        <x:v>30</x:v>
      </x:c>
      <x:c r="B35" s="89"/>
      <x:c r="C35" s="89"/>
      <x:c r="D35" s="89"/>
      <x:c r="E35" s="98"/>
      <x:c r="F35" s="98"/>
      <x:c r="G35" s="98"/>
      <x:c r="H35" s="99"/>
    </x:row>
    <x:row r="36" ht="18.600000381469727" customHeight="1">
      <x:c r="A36" s="14" t="s">
        <x:v>31</x:v>
      </x:c>
      <x:c r="B36" s="93"/>
      <x:c r="C36" s="87"/>
      <x:c r="D36" s="87"/>
      <x:c r="E36" s="104"/>
      <x:c r="F36" s="104"/>
      <x:c r="G36" s="104"/>
      <x:c r="H36" s="105"/>
    </x:row>
    <x:row r="37" ht="18.600000381469727" customHeight="1">
      <x:c r="A37" s="12" t="s">
        <x:v>32</x:v>
      </x:c>
      <x:c r="B37" s="89"/>
      <x:c r="C37" s="89"/>
      <x:c r="D37" s="89"/>
      <x:c r="E37" s="98"/>
      <x:c r="F37" s="98"/>
      <x:c r="G37" s="98"/>
      <x:c r="H37" s="99"/>
    </x:row>
    <x:row r="38" ht="18.600000381469727" customHeight="1">
      <x:c r="A38" s="32" t="s">
        <x:v>33</x:v>
      </x:c>
      <x:c r="B38" s="90"/>
      <x:c r="C38" s="90"/>
      <x:c r="D38" s="90"/>
      <x:c r="E38" s="100"/>
      <x:c r="F38" s="100"/>
      <x:c r="G38" s="100"/>
      <x:c r="H38" s="101"/>
    </x:row>
    <x:row r="39" ht="18.600000381469727" customHeight="1">
      <x:c r="A39" s="12" t="s">
        <x:v>34</x:v>
      </x:c>
      <x:c r="B39" s="89"/>
      <x:c r="C39" s="89"/>
      <x:c r="D39" s="89"/>
      <x:c r="E39" s="98"/>
      <x:c r="F39" s="98"/>
      <x:c r="G39" s="89"/>
      <x:c r="H39" s="99"/>
    </x:row>
    <x:row r="40" ht="18.600000381469727" customHeight="1">
      <x:c r="A40" s="14" t="s">
        <x:v>35</x:v>
      </x:c>
      <x:c r="B40" s="87"/>
      <x:c r="C40" s="87"/>
      <x:c r="D40" s="87"/>
      <x:c r="E40" s="96"/>
      <x:c r="F40" s="96"/>
      <x:c r="G40" s="96"/>
      <x:c r="H40" s="97"/>
    </x:row>
    <x:row r="41" ht="18.600000381469727" customHeight="1">
      <x:c r="A41" s="12" t="s">
        <x:v>36</x:v>
      </x:c>
      <x:c r="B41" s="89"/>
      <x:c r="C41" s="89"/>
      <x:c r="D41" s="89"/>
      <x:c r="E41" s="98"/>
      <x:c r="F41" s="98"/>
      <x:c r="G41" s="98"/>
      <x:c r="H41" s="99"/>
    </x:row>
    <x:row r="42" ht="18.600000381469727" customHeight="1">
      <x:c r="A42" s="14" t="s">
        <x:v>37</x:v>
      </x:c>
      <x:c r="B42" s="87"/>
      <x:c r="C42" s="87"/>
      <x:c r="D42" s="87"/>
      <x:c r="E42" s="96"/>
      <x:c r="F42" s="96"/>
      <x:c r="G42" s="96"/>
      <x:c r="H42" s="97"/>
    </x:row>
    <x:row r="43" ht="18.600000381469727" customHeight="1">
      <x:c r="A43" s="127" t="s">
        <x:v>38</x:v>
      </x:c>
      <x:c r="B43" s="87"/>
      <x:c r="C43" s="87"/>
      <x:c r="D43" s="87"/>
      <x:c r="E43" s="96"/>
      <x:c r="F43" s="96"/>
      <x:c r="G43" s="96"/>
      <x:c r="H43" s="97"/>
    </x:row>
    <x:row r="44" ht="18.600000381469727" customHeight="1">
      <x:c r="A44" s="128"/>
      <x:c r="B44" s="91"/>
      <x:c r="C44" s="91"/>
      <x:c r="D44" s="91"/>
      <x:c r="E44" s="102"/>
      <x:c r="F44" s="102"/>
      <x:c r="G44" s="102"/>
      <x:c r="H44" s="103"/>
    </x:row>
    <x:row r="45" ht="18.600000381469727" customHeight="1">
      <x:c r="A45" s="12" t="s">
        <x:v>39</x:v>
      </x:c>
      <x:c r="B45" s="89"/>
      <x:c r="C45" s="89"/>
      <x:c r="D45" s="89"/>
      <x:c r="E45" s="98"/>
      <x:c r="F45" s="98"/>
      <x:c r="G45" s="98"/>
      <x:c r="H45" s="99"/>
    </x:row>
    <x:row r="46" ht="18.600000381469727" customHeight="1">
      <x:c r="A46" s="14" t="s">
        <x:v>40</x:v>
      </x:c>
      <x:c r="B46" s="87"/>
      <x:c r="C46" s="87"/>
      <x:c r="D46" s="87"/>
      <x:c r="E46" s="96"/>
      <x:c r="F46" s="96"/>
      <x:c r="G46" s="96"/>
      <x:c r="H46" s="97"/>
    </x:row>
    <x:row r="47" ht="18.600000381469727" customHeight="1">
      <x:c r="A47" s="12" t="s">
        <x:v>41</x:v>
      </x:c>
      <x:c r="B47" s="7" t="n">
        <x:f t="shared" ref="B47:H47" si="2">SUM(B31:B46)</x:f>
        <x:v>0</x:v>
      </x:c>
      <x:c r="C47" s="7">
        <x:f t="shared" si="2"/>
        <x:v>71.8</x:v>
      </x:c>
      <x:c r="D47" s="7">
        <x:f t="shared" si="2"/>
        <x:v>36.9</x:v>
      </x:c>
      <x:c r="E47" s="7">
        <x:f t="shared" si="2"/>
        <x:v>49.3</x:v>
      </x:c>
      <x:c r="F47" s="7">
        <x:f t="shared" si="2"/>
        <x:v>576</x:v>
      </x:c>
      <x:c r="G47" s="7">
        <x:f t="shared" si="2"/>
        <x:v>0</x:v>
      </x:c>
      <x:c r="H47" s="16">
        <x:f t="shared" si="2"/>
        <x:v>0</x:v>
      </x:c>
    </x:row>
    <x:row r="48" ht="18.600000381469727" customHeight="1">
      <x:c r="A48" s="18" t="s">
        <x:v>42</x:v>
      </x:c>
      <x:c r="B48" s="129"/>
      <x:c r="C48" s="130"/>
      <x:c r="D48" s="130"/>
      <x:c r="E48" s="130"/>
      <x:c r="F48" s="130"/>
      <x:c r="G48" s="130"/>
      <x:c r="H48" s="8" t="n">
        <x:f>SUM(B47:H47)</x:f>
        <x:v>734</x:v>
      </x:c>
    </x:row>
    <x:row r="49">
      <x:c r="A49" s="116" t="s">
        <x:v>43</x:v>
      </x:c>
      <x:c r="B49" s="117"/>
      <x:c r="C49" s="117"/>
      <x:c r="D49" s="117"/>
      <x:c r="E49" s="117"/>
      <x:c r="F49" s="117"/>
      <x:c r="G49" s="117"/>
      <x:c r="H49" s="118"/>
    </x:row>
    <x:row r="50" ht="15">
      <x:c r="A50" s="119"/>
      <x:c r="B50" s="120"/>
      <x:c r="C50" s="120"/>
      <x:c r="D50" s="120"/>
      <x:c r="E50" s="120"/>
      <x:c r="F50" s="120"/>
      <x:c r="G50" s="120"/>
      <x:c r="H50" s="121"/>
    </x:row>
    <x:row r="51" ht="15"/>
    <x:row r="52" ht="35.099998474121094" customHeight="1">
      <x:c r="A52" s="122" t="s">
        <x:v>13</x:v>
      </x:c>
      <x:c r="B52" s="123"/>
      <x:c r="C52" s="123"/>
      <x:c r="D52" s="123"/>
      <x:c r="E52" s="123"/>
      <x:c r="F52" s="123"/>
      <x:c r="G52" s="123"/>
      <x:c r="H52" s="124"/>
      <x:c r="I52" s="2"/>
      <x:c r="J52" s="2"/>
      <x:c r="K52" s="2"/>
      <x:c r="L52" s="2"/>
      <x:c r="M52" s="2"/>
      <x:c r="N52" s="2"/>
    </x:row>
    <x:row r="53" ht="30" customHeight="1">
      <x:c r="A53" s="9" t="s">
        <x:v>14</x:v>
      </x:c>
      <x:c r="B53" s="20" t="s">
        <x:v>15</x:v>
      </x:c>
      <x:c r="C53" s="20"/>
      <x:c r="D53" s="24" t="s">
        <x:v>16</x:v>
      </x:c>
      <x:c r="E53" s="20"/>
      <x:c r="F53" s="19" t="s">
        <x:v>17</x:v>
      </x:c>
      <x:c r="G53" s="23" t="s">
        <x:v>18</x:v>
      </x:c>
      <x:c r="H53" s="21"/>
      <x:c r="I53" s="3"/>
      <x:c r="J53" s="3"/>
      <x:c r="K53" s="3"/>
      <x:c r="L53" s="3"/>
      <x:c r="M53" s="3"/>
      <x:c r="N53" s="3"/>
    </x:row>
    <x:row r="54" ht="21.600000381469727" customHeight="1">
      <x:c r="A54" s="125"/>
      <x:c r="B54" s="73" t="s">
        <x:v>19</x:v>
      </x:c>
      <x:c r="C54" s="73" t="s">
        <x:v>20</x:v>
      </x:c>
      <x:c r="D54" s="73" t="s">
        <x:v>21</x:v>
      </x:c>
      <x:c r="E54" s="73" t="s">
        <x:v>22</x:v>
      </x:c>
      <x:c r="F54" s="73" t="s">
        <x:v>23</x:v>
      </x:c>
      <x:c r="G54" s="73" t="s">
        <x:v>24</x:v>
      </x:c>
      <x:c r="H54" s="73" t="s">
        <x:v>25</x:v>
      </x:c>
      <x:c r="I54" s="3"/>
      <x:c r="J54" s="3"/>
      <x:c r="K54" s="3"/>
      <x:c r="L54" s="3"/>
      <x:c r="M54" s="3"/>
      <x:c r="N54" s="3"/>
    </x:row>
    <x:row r="55" ht="21.600000381469727" customHeight="1">
      <x:c r="A55" s="126"/>
      <x:c r="B55" s="73" t="n">
        <x:f>H30+1</x:f>
        <x:v>46188</x:v>
      </x:c>
      <x:c r="C55" s="73" t="n">
        <x:f>B55+1</x:f>
        <x:v>46189</x:v>
      </x:c>
      <x:c r="D55" s="73" t="n">
        <x:f t="shared" ref="D55:H55" si="3">C55+1</x:f>
        <x:v>46190</x:v>
      </x:c>
      <x:c r="E55" s="73">
        <x:f t="shared" si="3"/>
        <x:v>46191</x:v>
      </x:c>
      <x:c r="F55" s="73">
        <x:f t="shared" si="3"/>
        <x:v>46192</x:v>
      </x:c>
      <x:c r="G55" s="73">
        <x:f t="shared" si="3"/>
        <x:v>46193</x:v>
      </x:c>
      <x:c r="H55" s="73">
        <x:f t="shared" si="3"/>
        <x:v>46194</x:v>
      </x:c>
      <x:c r="M55" s="3"/>
      <x:c r="N55" s="3"/>
    </x:row>
    <x:row r="56" ht="18.600000381469727" customHeight="1">
      <x:c r="A56" s="12" t="s">
        <x:v>26</x:v>
      </x:c>
      <x:c r="B56" s="94"/>
      <x:c r="C56" s="94"/>
      <x:c r="D56" s="94"/>
      <x:c r="E56" s="94"/>
      <x:c r="F56" s="94"/>
      <x:c r="G56" s="94"/>
      <x:c r="H56" s="95"/>
    </x:row>
    <x:row r="57" ht="18.600000381469727" customHeight="1">
      <x:c r="A57" s="14" t="s">
        <x:v>27</x:v>
      </x:c>
      <x:c r="B57" s="96"/>
      <x:c r="C57" s="96"/>
      <x:c r="D57" s="96"/>
      <x:c r="E57" s="96"/>
      <x:c r="F57" s="96"/>
      <x:c r="G57" s="96"/>
      <x:c r="H57" s="97"/>
    </x:row>
    <x:row r="58" ht="18.600000381469727" customHeight="1">
      <x:c r="A58" s="12" t="s">
        <x:v>28</x:v>
      </x:c>
      <x:c r="B58" s="98"/>
      <x:c r="C58" s="98"/>
      <x:c r="D58" s="98"/>
      <x:c r="E58" s="98"/>
      <x:c r="F58" s="98"/>
      <x:c r="G58" s="98"/>
      <x:c r="H58" s="99"/>
    </x:row>
    <x:row r="59" ht="18.600000381469727" customHeight="1">
      <x:c r="A59" s="14" t="s">
        <x:v>29</x:v>
      </x:c>
      <x:c r="B59" s="96"/>
      <x:c r="C59" s="96"/>
      <x:c r="D59" s="96"/>
      <x:c r="E59" s="96"/>
      <x:c r="F59" s="96"/>
      <x:c r="G59" s="96"/>
      <x:c r="H59" s="97"/>
    </x:row>
    <x:row r="60" ht="18.600000381469727" customHeight="1">
      <x:c r="A60" s="12" t="s">
        <x:v>30</x:v>
      </x:c>
      <x:c r="B60" s="98"/>
      <x:c r="C60" s="98"/>
      <x:c r="D60" s="98"/>
      <x:c r="E60" s="98"/>
      <x:c r="F60" s="98"/>
      <x:c r="G60" s="98"/>
      <x:c r="H60" s="99"/>
    </x:row>
    <x:row r="61" ht="18.600000381469727" customHeight="1">
      <x:c r="A61" s="14" t="s">
        <x:v>31</x:v>
      </x:c>
      <x:c r="B61" s="104"/>
      <x:c r="C61" s="104"/>
      <x:c r="D61" s="104"/>
      <x:c r="E61" s="104"/>
      <x:c r="F61" s="104"/>
      <x:c r="G61" s="104"/>
      <x:c r="H61" s="105"/>
    </x:row>
    <x:row r="62" ht="18.600000381469727" customHeight="1">
      <x:c r="A62" s="12" t="s">
        <x:v>32</x:v>
      </x:c>
      <x:c r="B62" s="98"/>
      <x:c r="C62" s="98"/>
      <x:c r="D62" s="98"/>
      <x:c r="E62" s="98"/>
      <x:c r="F62" s="98"/>
      <x:c r="G62" s="98"/>
      <x:c r="H62" s="99"/>
    </x:row>
    <x:row r="63" ht="18.600000381469727" customHeight="1">
      <x:c r="A63" s="32" t="s">
        <x:v>33</x:v>
      </x:c>
      <x:c r="B63" s="106"/>
      <x:c r="C63" s="106"/>
      <x:c r="D63" s="106"/>
      <x:c r="E63" s="106"/>
      <x:c r="F63" s="106"/>
      <x:c r="G63" s="106"/>
      <x:c r="H63" s="107"/>
    </x:row>
    <x:row r="64" ht="18.600000381469727" customHeight="1">
      <x:c r="A64" s="12" t="s">
        <x:v>34</x:v>
      </x:c>
      <x:c r="B64" s="98"/>
      <x:c r="C64" s="89"/>
      <x:c r="D64" s="98"/>
      <x:c r="E64" s="98"/>
      <x:c r="F64" s="98"/>
      <x:c r="G64" s="89"/>
      <x:c r="H64" s="99"/>
    </x:row>
    <x:row r="65" ht="18.600000381469727" customHeight="1">
      <x:c r="A65" s="14" t="s">
        <x:v>35</x:v>
      </x:c>
      <x:c r="B65" s="96"/>
      <x:c r="C65" s="96"/>
      <x:c r="D65" s="96"/>
      <x:c r="E65" s="96"/>
      <x:c r="F65" s="96"/>
      <x:c r="G65" s="96"/>
      <x:c r="H65" s="97"/>
    </x:row>
    <x:row r="66" ht="18.600000381469727" customHeight="1">
      <x:c r="A66" s="12" t="s">
        <x:v>36</x:v>
      </x:c>
      <x:c r="B66" s="98"/>
      <x:c r="C66" s="98"/>
      <x:c r="D66" s="98"/>
      <x:c r="E66" s="98"/>
      <x:c r="F66" s="98"/>
      <x:c r="G66" s="98"/>
      <x:c r="H66" s="99"/>
    </x:row>
    <x:row r="67" ht="18.600000381469727" customHeight="1">
      <x:c r="A67" s="14" t="s">
        <x:v>37</x:v>
      </x:c>
      <x:c r="B67" s="96"/>
      <x:c r="C67" s="96"/>
      <x:c r="D67" s="96"/>
      <x:c r="E67" s="96"/>
      <x:c r="F67" s="96"/>
      <x:c r="G67" s="96"/>
      <x:c r="H67" s="97"/>
    </x:row>
    <x:row r="68" ht="18.600000381469727" customHeight="1">
      <x:c r="A68" s="127" t="s">
        <x:v>38</x:v>
      </x:c>
      <x:c r="B68" s="96"/>
      <x:c r="C68" s="96"/>
      <x:c r="D68" s="96"/>
      <x:c r="E68" s="96"/>
      <x:c r="F68" s="96"/>
      <x:c r="G68" s="96"/>
      <x:c r="H68" s="97"/>
    </x:row>
    <x:row r="69" ht="18.600000381469727" customHeight="1">
      <x:c r="A69" s="128"/>
      <x:c r="B69" s="102"/>
      <x:c r="C69" s="102"/>
      <x:c r="D69" s="102"/>
      <x:c r="E69" s="102"/>
      <x:c r="F69" s="102"/>
      <x:c r="G69" s="102"/>
      <x:c r="H69" s="103"/>
    </x:row>
    <x:row r="70" ht="18.600000381469727" customHeight="1">
      <x:c r="A70" s="12" t="s">
        <x:v>39</x:v>
      </x:c>
      <x:c r="B70" s="98"/>
      <x:c r="C70" s="98"/>
      <x:c r="D70" s="98"/>
      <x:c r="E70" s="98"/>
      <x:c r="F70" s="98"/>
      <x:c r="G70" s="98"/>
      <x:c r="H70" s="99"/>
    </x:row>
    <x:row r="71" ht="18.600000381469727" customHeight="1">
      <x:c r="A71" s="14" t="s">
        <x:v>40</x:v>
      </x:c>
      <x:c r="B71" s="96"/>
      <x:c r="C71" s="96"/>
      <x:c r="D71" s="96"/>
      <x:c r="E71" s="96"/>
      <x:c r="F71" s="96"/>
      <x:c r="G71" s="96"/>
      <x:c r="H71" s="97"/>
    </x:row>
    <x:row r="72" ht="18.600000381469727" customHeight="1">
      <x:c r="A72" s="12" t="s">
        <x:v>41</x:v>
      </x:c>
      <x:c r="B72" s="7" t="n">
        <x:f t="shared" ref="B72:H72" si="4">SUM(B56:B71)</x:f>
        <x:v>0</x:v>
      </x:c>
      <x:c r="C72" s="7">
        <x:f t="shared" si="4"/>
        <x:v>11.9</x:v>
      </x:c>
      <x:c r="D72" s="7">
        <x:f t="shared" si="4"/>
        <x:v>41.86</x:v>
      </x:c>
      <x:c r="E72" s="7">
        <x:f t="shared" si="4"/>
        <x:v>47.5</x:v>
      </x:c>
      <x:c r="F72" s="7">
        <x:f t="shared" si="4"/>
        <x:v>637.5</x:v>
      </x:c>
      <x:c r="G72" s="7">
        <x:f t="shared" si="4"/>
        <x:v>0</x:v>
      </x:c>
      <x:c r="H72" s="16">
        <x:f t="shared" si="4"/>
        <x:v>0</x:v>
      </x:c>
    </x:row>
    <x:row r="73" ht="18.600000381469727" customHeight="1">
      <x:c r="A73" s="18" t="s">
        <x:v>42</x:v>
      </x:c>
      <x:c r="B73" s="129"/>
      <x:c r="C73" s="130"/>
      <x:c r="D73" s="130"/>
      <x:c r="E73" s="130"/>
      <x:c r="F73" s="130"/>
      <x:c r="G73" s="130"/>
      <x:c r="H73" s="8" t="n">
        <x:f>SUM(B72:H72)</x:f>
        <x:v>738.76</x:v>
      </x:c>
    </x:row>
    <x:row r="74">
      <x:c r="A74" s="133" t="s">
        <x:v>43</x:v>
      </x:c>
      <x:c r="B74" s="134"/>
      <x:c r="C74" s="134"/>
      <x:c r="D74" s="134"/>
      <x:c r="E74" s="134"/>
      <x:c r="F74" s="134"/>
      <x:c r="G74" s="134"/>
      <x:c r="H74" s="135"/>
    </x:row>
    <x:row r="75" ht="15">
      <x:c r="A75" s="136"/>
      <x:c r="B75" s="137"/>
      <x:c r="C75" s="137"/>
      <x:c r="D75" s="137"/>
      <x:c r="E75" s="137"/>
      <x:c r="F75" s="137"/>
      <x:c r="G75" s="137"/>
      <x:c r="H75" s="138"/>
    </x:row>
    <x:row r="76" ht="15"/>
    <x:row r="77" ht="35.099998474121094" customHeight="1">
      <x:c r="A77" s="122" t="s">
        <x:v>13</x:v>
      </x:c>
      <x:c r="B77" s="123"/>
      <x:c r="C77" s="123"/>
      <x:c r="D77" s="123"/>
      <x:c r="E77" s="123"/>
      <x:c r="F77" s="123"/>
      <x:c r="G77" s="123"/>
      <x:c r="H77" s="124"/>
      <x:c r="I77" s="2"/>
      <x:c r="J77" s="2"/>
      <x:c r="K77" s="2"/>
      <x:c r="L77" s="2"/>
      <x:c r="M77" s="2"/>
      <x:c r="N77" s="2"/>
    </x:row>
    <x:row r="78" ht="30" customHeight="1">
      <x:c r="A78" s="9" t="s">
        <x:v>14</x:v>
      </x:c>
      <x:c r="B78" s="20" t="s">
        <x:v>15</x:v>
      </x:c>
      <x:c r="C78" s="20"/>
      <x:c r="D78" s="24" t="s">
        <x:v>16</x:v>
      </x:c>
      <x:c r="E78" s="20"/>
      <x:c r="F78" s="19" t="s">
        <x:v>17</x:v>
      </x:c>
      <x:c r="G78" s="23" t="s">
        <x:v>18</x:v>
      </x:c>
      <x:c r="H78" s="21"/>
      <x:c r="I78" s="68"/>
      <x:c r="J78" s="3"/>
      <x:c r="K78" s="3"/>
      <x:c r="L78" s="3"/>
      <x:c r="M78" s="3"/>
      <x:c r="N78" s="3"/>
    </x:row>
    <x:row r="79" ht="21.600000381469727" customHeight="1">
      <x:c r="A79" s="125"/>
      <x:c r="B79" s="73" t="s">
        <x:v>19</x:v>
      </x:c>
      <x:c r="C79" s="73" t="s">
        <x:v>20</x:v>
      </x:c>
      <x:c r="D79" s="73" t="s">
        <x:v>21</x:v>
      </x:c>
      <x:c r="E79" s="73" t="s">
        <x:v>22</x:v>
      </x:c>
      <x:c r="F79" s="73" t="s">
        <x:v>23</x:v>
      </x:c>
      <x:c r="G79" s="73" t="s">
        <x:v>24</x:v>
      </x:c>
      <x:c r="H79" s="73" t="s">
        <x:v>25</x:v>
      </x:c>
      <x:c r="I79" s="68"/>
      <x:c r="J79" s="3"/>
      <x:c r="K79" s="3"/>
      <x:c r="L79" s="3"/>
      <x:c r="M79" s="3"/>
      <x:c r="N79" s="3"/>
    </x:row>
    <x:row r="80" ht="21.600000381469727" customHeight="1">
      <x:c r="A80" s="126"/>
      <x:c r="B80" s="73" t="e" cm="1">
        <x:f t="array" ref="B80:H80">_xlfn.SEQUENCE(1,'Convalida dati'!N5,H55+1,1)</x:f>
        <x:v>#VALUE!</x:v>
      </x:c>
      <x:c r="C80" s="73">
        <x:v>46196</x:v>
      </x:c>
      <x:c r="D80" s="73">
        <x:v>46197</x:v>
      </x:c>
      <x:c r="E80" s="73">
        <x:v>46198</x:v>
      </x:c>
      <x:c r="F80" s="73">
        <x:v>46199</x:v>
      </x:c>
      <x:c r="G80" s="73">
        <x:v>46200</x:v>
      </x:c>
      <x:c r="H80" s="73">
        <x:v>46201</x:v>
      </x:c>
      <x:c r="I80" s="68"/>
      <x:c r="J80" s="3"/>
      <x:c r="K80" s="3"/>
      <x:c r="L80" s="3"/>
      <x:c r="M80" s="3"/>
      <x:c r="N80" s="3"/>
    </x:row>
    <x:row r="81" ht="18.600000381469727" customHeight="1">
      <x:c r="A81" s="12" t="s">
        <x:v>26</x:v>
      </x:c>
      <x:c r="B81" s="108"/>
      <x:c r="C81" s="94"/>
      <x:c r="D81" s="94"/>
      <x:c r="E81" s="94"/>
      <x:c r="F81" s="94"/>
      <x:c r="G81" s="94"/>
      <x:c r="H81" s="95"/>
    </x:row>
    <x:row r="82" ht="18.600000381469727" customHeight="1">
      <x:c r="A82" s="14" t="s">
        <x:v>27</x:v>
      </x:c>
      <x:c r="B82" s="104"/>
      <x:c r="C82" s="96"/>
      <x:c r="D82" s="96"/>
      <x:c r="E82" s="96"/>
      <x:c r="F82" s="96"/>
      <x:c r="G82" s="96"/>
      <x:c r="H82" s="97"/>
    </x:row>
    <x:row r="83" ht="18.600000381469727" customHeight="1">
      <x:c r="A83" s="12" t="s">
        <x:v>28</x:v>
      </x:c>
      <x:c r="B83" s="109"/>
      <x:c r="C83" s="98"/>
      <x:c r="D83" s="98"/>
      <x:c r="E83" s="98"/>
      <x:c r="F83" s="98"/>
      <x:c r="G83" s="98"/>
      <x:c r="H83" s="99"/>
    </x:row>
    <x:row r="84" ht="18.600000381469727" customHeight="1">
      <x:c r="A84" s="14" t="s">
        <x:v>29</x:v>
      </x:c>
      <x:c r="B84" s="96"/>
      <x:c r="C84" s="96"/>
      <x:c r="D84" s="96"/>
      <x:c r="E84" s="96"/>
      <x:c r="F84" s="113"/>
      <x:c r="G84" s="96"/>
      <x:c r="H84" s="97"/>
    </x:row>
    <x:row r="85" ht="18.600000381469727" customHeight="1">
      <x:c r="A85" s="12" t="s">
        <x:v>30</x:v>
      </x:c>
      <x:c r="B85" s="109"/>
      <x:c r="C85" s="98"/>
      <x:c r="D85" s="98"/>
      <x:c r="E85" s="98"/>
      <x:c r="F85" s="98"/>
      <x:c r="G85" s="98"/>
      <x:c r="H85" s="99"/>
    </x:row>
    <x:row r="86" ht="18.600000381469727" customHeight="1">
      <x:c r="A86" s="14" t="s">
        <x:v>31</x:v>
      </x:c>
      <x:c r="B86" s="96"/>
      <x:c r="C86" s="96"/>
      <x:c r="D86" s="96"/>
      <x:c r="E86" s="104"/>
      <x:c r="F86" s="104"/>
      <x:c r="G86" s="96"/>
      <x:c r="H86" s="97"/>
    </x:row>
    <x:row r="87" ht="18.600000381469727" customHeight="1">
      <x:c r="A87" s="12" t="s">
        <x:v>32</x:v>
      </x:c>
      <x:c r="B87" s="109"/>
      <x:c r="C87" s="98"/>
      <x:c r="D87" s="98"/>
      <x:c r="E87" s="98"/>
      <x:c r="F87" s="98"/>
      <x:c r="G87" s="98"/>
      <x:c r="H87" s="99"/>
    </x:row>
    <x:row r="88" ht="18.600000381469727" customHeight="1">
      <x:c r="A88" s="32" t="s">
        <x:v>33</x:v>
      </x:c>
      <x:c r="B88" s="106"/>
      <x:c r="C88" s="106"/>
      <x:c r="D88" s="106"/>
      <x:c r="E88" s="106"/>
      <x:c r="F88" s="106"/>
      <x:c r="G88" s="106"/>
      <x:c r="H88" s="107"/>
    </x:row>
    <x:row r="89" ht="18.600000381469727" customHeight="1">
      <x:c r="A89" s="12" t="s">
        <x:v>34</x:v>
      </x:c>
      <x:c r="B89" s="98"/>
      <x:c r="C89" s="98"/>
      <x:c r="D89" s="98"/>
      <x:c r="E89" s="98"/>
      <x:c r="F89" s="98"/>
      <x:c r="G89" s="98"/>
      <x:c r="H89" s="99"/>
    </x:row>
    <x:row r="90" ht="18.600000381469727" customHeight="1">
      <x:c r="A90" s="14" t="s">
        <x:v>35</x:v>
      </x:c>
      <x:c r="B90" s="104"/>
      <x:c r="C90" s="104"/>
      <x:c r="D90" s="104"/>
      <x:c r="E90" s="104"/>
      <x:c r="F90" s="104"/>
      <x:c r="G90" s="104"/>
      <x:c r="H90" s="105"/>
    </x:row>
    <x:row r="91" ht="18.600000381469727" customHeight="1">
      <x:c r="A91" s="12" t="s">
        <x:v>36</x:v>
      </x:c>
      <x:c r="B91" s="109"/>
      <x:c r="C91" s="109"/>
      <x:c r="D91" s="109"/>
      <x:c r="E91" s="109"/>
      <x:c r="F91" s="109"/>
      <x:c r="G91" s="109"/>
      <x:c r="H91" s="110"/>
      <x:c r="K91" s="70"/>
    </x:row>
    <x:row r="92" ht="18.600000381469727" customHeight="1">
      <x:c r="A92" s="14" t="s">
        <x:v>37</x:v>
      </x:c>
      <x:c r="B92" s="104"/>
      <x:c r="C92" s="104"/>
      <x:c r="D92" s="104"/>
      <x:c r="E92" s="104"/>
      <x:c r="F92" s="104"/>
      <x:c r="G92" s="104"/>
      <x:c r="H92" s="105"/>
      <x:c r="K92" s="70"/>
    </x:row>
    <x:row r="93" ht="18.600000381469727" customHeight="1">
      <x:c r="A93" s="127" t="s">
        <x:v>38</x:v>
      </x:c>
      <x:c r="B93" s="104"/>
      <x:c r="C93" s="104"/>
      <x:c r="D93" s="104"/>
      <x:c r="E93" s="104"/>
      <x:c r="F93" s="104"/>
      <x:c r="G93" s="104"/>
      <x:c r="H93" s="105"/>
      <x:c r="K93" s="70"/>
    </x:row>
    <x:row r="94" ht="18.600000381469727" customHeight="1">
      <x:c r="A94" s="128"/>
      <x:c r="B94" s="111"/>
      <x:c r="C94" s="111"/>
      <x:c r="D94" s="111"/>
      <x:c r="E94" s="111"/>
      <x:c r="F94" s="111"/>
      <x:c r="G94" s="111"/>
      <x:c r="H94" s="112"/>
      <x:c r="K94" s="70"/>
    </x:row>
    <x:row r="95" ht="18.600000381469727" customHeight="1">
      <x:c r="A95" s="12" t="s">
        <x:v>39</x:v>
      </x:c>
      <x:c r="B95" s="109"/>
      <x:c r="C95" s="109"/>
      <x:c r="D95" s="109"/>
      <x:c r="E95" s="109"/>
      <x:c r="F95" s="109"/>
      <x:c r="G95" s="109"/>
      <x:c r="H95" s="110"/>
      <x:c r="K95" s="70"/>
    </x:row>
    <x:row r="96" ht="18.600000381469727" customHeight="1">
      <x:c r="A96" s="14" t="s">
        <x:v>40</x:v>
      </x:c>
      <x:c r="B96" s="104"/>
      <x:c r="C96" s="104"/>
      <x:c r="D96" s="104"/>
      <x:c r="E96" s="104"/>
      <x:c r="F96" s="104"/>
      <x:c r="G96" s="104"/>
      <x:c r="H96" s="105"/>
      <x:c r="K96" s="70"/>
    </x:row>
    <x:row r="97" ht="18.600000381469727" customHeight="1">
      <x:c r="A97" s="12" t="s">
        <x:v>41</x:v>
      </x:c>
      <x:c r="B97" s="7" t="n">
        <x:f t="shared" ref="B97:H97" si="5">SUM(B81:B96)</x:f>
        <x:v>0</x:v>
      </x:c>
      <x:c r="C97" s="7">
        <x:f t="shared" si="5"/>
        <x:v>0</x:v>
      </x:c>
      <x:c r="D97" s="7">
        <x:f t="shared" si="5"/>
        <x:v>0</x:v>
      </x:c>
      <x:c r="E97" s="7">
        <x:f t="shared" si="5"/>
        <x:v>0</x:v>
      </x:c>
      <x:c r="F97" s="7">
        <x:f t="shared" si="5"/>
        <x:v>0</x:v>
      </x:c>
      <x:c r="G97" s="7">
        <x:f t="shared" si="5"/>
        <x:v>0</x:v>
      </x:c>
      <x:c r="H97" s="16">
        <x:f t="shared" si="5"/>
        <x:v>0</x:v>
      </x:c>
      <x:c r="K97" s="70"/>
    </x:row>
    <x:row r="98" ht="18.600000381469727" customHeight="1">
      <x:c r="A98" s="18" t="s">
        <x:v>42</x:v>
      </x:c>
      <x:c r="B98" s="129"/>
      <x:c r="C98" s="130"/>
      <x:c r="D98" s="130"/>
      <x:c r="E98" s="130"/>
      <x:c r="F98" s="130"/>
      <x:c r="G98" s="130"/>
      <x:c r="H98" s="8" t="n">
        <x:f>SUM(B97:H97)</x:f>
        <x:v>0</x:v>
      </x:c>
      <x:c r="K98" s="70"/>
    </x:row>
    <x:row r="99">
      <x:c r="A99" s="116" t="s">
        <x:v>43</x:v>
      </x:c>
      <x:c r="B99" s="117"/>
      <x:c r="C99" s="117"/>
      <x:c r="D99" s="117"/>
      <x:c r="E99" s="117"/>
      <x:c r="F99" s="117"/>
      <x:c r="G99" s="117"/>
      <x:c r="H99" s="118"/>
      <x:c r="K99" s="70"/>
    </x:row>
    <x:row r="100" ht="15">
      <x:c r="A100" s="119"/>
      <x:c r="B100" s="120"/>
      <x:c r="C100" s="120"/>
      <x:c r="D100" s="120"/>
      <x:c r="E100" s="120"/>
      <x:c r="F100" s="120"/>
      <x:c r="G100" s="120"/>
      <x:c r="H100" s="121"/>
      <x:c r="K100" s="70"/>
    </x:row>
    <x:row r="101" ht="15">
      <x:c r="K101" s="70"/>
    </x:row>
    <x:row r="102" ht="30" customHeight="1">
      <x:c r="A102" s="122" t="s">
        <x:v>13</x:v>
      </x:c>
      <x:c r="B102" s="123"/>
      <x:c r="C102" s="123"/>
      <x:c r="D102" s="123"/>
      <x:c r="E102" s="123"/>
      <x:c r="F102" s="123"/>
      <x:c r="G102" s="123"/>
      <x:c r="H102" s="124"/>
      <x:c r="K102" s="70"/>
      <x:c r="M102" s="3"/>
      <x:c r="N102" s="3"/>
    </x:row>
    <x:row r="103" ht="21.600000381469727" customHeight="1">
      <x:c r="A103" s="9" t="s">
        <x:v>14</x:v>
      </x:c>
      <x:c r="B103" s="20" t="s">
        <x:v>15</x:v>
      </x:c>
      <x:c r="C103" s="20"/>
      <x:c r="D103" s="24" t="s">
        <x:v>16</x:v>
      </x:c>
      <x:c r="E103" s="20"/>
      <x:c r="F103" s="19" t="s">
        <x:v>17</x:v>
      </x:c>
      <x:c r="G103" s="23" t="s">
        <x:v>18</x:v>
      </x:c>
      <x:c r="H103" s="21"/>
      <x:c r="I103" s="3"/>
      <x:c r="J103" s="3"/>
      <x:c r="K103" s="3"/>
      <x:c r="L103" s="3"/>
      <x:c r="M103" s="3"/>
      <x:c r="N103" s="3"/>
    </x:row>
    <x:row r="104" ht="21.600000381469727" customHeight="1">
      <x:c r="A104" s="125"/>
      <x:c r="B104" s="73" t="s">
        <x:v>19</x:v>
      </x:c>
      <x:c r="C104" s="73" t="s">
        <x:v>20</x:v>
      </x:c>
      <x:c r="D104" s="73" t="s">
        <x:v>21</x:v>
      </x:c>
      <x:c r="E104" s="73" t="s">
        <x:v>22</x:v>
      </x:c>
      <x:c r="F104" s="73" t="s">
        <x:v>23</x:v>
      </x:c>
      <x:c r="G104" s="73" t="s">
        <x:v>24</x:v>
      </x:c>
      <x:c r="H104" s="73" t="s">
        <x:v>25</x:v>
      </x:c>
      <x:c r="I104" s="3"/>
      <x:c r="J104" s="3"/>
      <x:c r="K104" s="3"/>
      <x:c r="L104" s="3"/>
      <x:c r="M104" s="3"/>
      <x:c r="N104" s="3"/>
    </x:row>
    <x:row r="105" ht="18.600000381469727" customHeight="1">
      <x:c r="A105" s="126"/>
      <x:c r="B105" s="73" t="n" cm="1">
        <x:f t="array" ref="B105:D105">_xlfn.SEQUENCE(1,'Convalida dati'!N6,H80+1,1)</x:f>
        <x:v>46202</x:v>
      </x:c>
      <x:c r="C105" s="73" t="n">
        <x:v>46203</x:v>
      </x:c>
      <x:c r="D105" s="73" t="n">
        <x:v>46204</x:v>
      </x:c>
      <x:c r="E105" s="73"/>
      <x:c r="F105" s="73"/>
      <x:c r="G105" s="73"/>
      <x:c r="H105" s="73"/>
    </x:row>
    <x:row r="106" ht="18.600000381469727" customHeight="1">
      <x:c r="A106" s="12" t="s">
        <x:v>26</x:v>
      </x:c>
      <x:c r="B106" s="5"/>
      <x:c r="C106" s="5"/>
      <x:c r="D106" s="5"/>
      <x:c r="E106" s="5"/>
      <x:c r="F106" s="5"/>
      <x:c r="G106" s="5"/>
      <x:c r="H106" s="13"/>
    </x:row>
    <x:row r="107" ht="18.600000381469727" customHeight="1">
      <x:c r="A107" s="14" t="s">
        <x:v>27</x:v>
      </x:c>
      <x:c r="B107" s="6"/>
      <x:c r="C107" s="6"/>
      <x:c r="D107" s="6"/>
      <x:c r="E107" s="6"/>
      <x:c r="F107" s="6"/>
      <x:c r="G107" s="6"/>
      <x:c r="H107" s="15"/>
    </x:row>
    <x:row r="108" ht="18.600000381469727" customHeight="1">
      <x:c r="A108" s="12" t="s">
        <x:v>28</x:v>
      </x:c>
      <x:c r="B108" s="7"/>
      <x:c r="C108" s="7"/>
      <x:c r="D108" s="7"/>
      <x:c r="E108" s="7"/>
      <x:c r="F108" s="7"/>
      <x:c r="G108" s="7"/>
      <x:c r="H108" s="16"/>
    </x:row>
    <x:row r="109" ht="18.600000381469727" customHeight="1">
      <x:c r="A109" s="14" t="s">
        <x:v>29</x:v>
      </x:c>
      <x:c r="B109" s="6"/>
      <x:c r="C109" s="6"/>
      <x:c r="D109" s="6"/>
      <x:c r="E109" s="6"/>
      <x:c r="F109"/>
      <x:c r="G109" s="6"/>
      <x:c r="H109" s="15"/>
    </x:row>
    <x:row r="110" ht="18.600000381469727" customHeight="1">
      <x:c r="A110" s="12" t="s">
        <x:v>30</x:v>
      </x:c>
      <x:c r="B110" s="7"/>
      <x:c r="C110" s="7"/>
      <x:c r="D110" s="7"/>
      <x:c r="E110" s="7"/>
      <x:c r="F110" s="7"/>
      <x:c r="G110" s="7"/>
      <x:c r="H110" s="16"/>
    </x:row>
    <x:row r="111" ht="18.600000381469727" customHeight="1">
      <x:c r="A111" s="14" t="s">
        <x:v>31</x:v>
      </x:c>
      <x:c r="B111" s="104"/>
      <x:c r="C111" s="6"/>
      <x:c r="D111" s="6"/>
      <x:c r="E111" s="6"/>
      <x:c r="F111" s="6"/>
      <x:c r="G111" s="6"/>
      <x:c r="H111" s="15"/>
    </x:row>
    <x:row r="112" ht="18.600000381469727" customHeight="1">
      <x:c r="A112" s="12" t="s">
        <x:v>32</x:v>
      </x:c>
      <x:c r="B112" s="7"/>
      <x:c r="C112" s="7"/>
      <x:c r="D112" s="7"/>
      <x:c r="E112" s="7"/>
      <x:c r="F112" s="7"/>
      <x:c r="G112" s="7"/>
      <x:c r="H112" s="16"/>
    </x:row>
    <x:row r="113" ht="18.600000381469727" customHeight="1">
      <x:c r="A113" s="32" t="s">
        <x:v>33</x:v>
      </x:c>
      <x:c r="B113" s="33"/>
      <x:c r="C113" s="33"/>
      <x:c r="D113" s="33"/>
      <x:c r="E113" s="33"/>
      <x:c r="F113" s="33"/>
      <x:c r="G113" s="33"/>
      <x:c r="H113" s="34"/>
    </x:row>
    <x:row r="114" ht="18.600000381469727" customHeight="1">
      <x:c r="A114" s="12" t="s">
        <x:v>34</x:v>
      </x:c>
      <x:c r="B114" s="7"/>
      <x:c r="C114" s="7"/>
      <x:c r="D114" s="7"/>
      <x:c r="E114" s="7"/>
      <x:c r="F114" s="7"/>
      <x:c r="G114" s="7"/>
      <x:c r="H114" s="16"/>
    </x:row>
    <x:row r="115" ht="18.600000381469727" customHeight="1">
      <x:c r="A115" s="14" t="s">
        <x:v>35</x:v>
      </x:c>
      <x:c r="B115" s="6"/>
      <x:c r="C115" s="6"/>
      <x:c r="D115" s="6"/>
      <x:c r="E115" s="6"/>
      <x:c r="F115" s="6"/>
      <x:c r="G115" s="6"/>
      <x:c r="H115" s="15"/>
    </x:row>
    <x:row r="116" ht="18.600000381469727" customHeight="1">
      <x:c r="A116" s="12" t="s">
        <x:v>36</x:v>
      </x:c>
      <x:c r="B116" s="7"/>
      <x:c r="C116" s="7"/>
      <x:c r="D116" s="7"/>
      <x:c r="E116" s="7"/>
      <x:c r="F116" s="7"/>
      <x:c r="G116" s="7"/>
      <x:c r="H116" s="16"/>
    </x:row>
    <x:row r="117" ht="18.600000381469727" customHeight="1">
      <x:c r="A117" s="14" t="s">
        <x:v>37</x:v>
      </x:c>
      <x:c r="B117" s="6"/>
      <x:c r="C117" s="6"/>
      <x:c r="D117" s="6"/>
      <x:c r="E117" s="6"/>
      <x:c r="F117" s="6"/>
      <x:c r="G117" s="6"/>
      <x:c r="H117" s="15"/>
    </x:row>
    <x:row r="118" ht="18.600000381469727" customHeight="1">
      <x:c r="A118" s="127" t="s">
        <x:v>38</x:v>
      </x:c>
      <x:c r="B118" s="6"/>
      <x:c r="C118" s="6"/>
      <x:c r="D118" s="96"/>
      <x:c r="E118" s="6"/>
      <x:c r="F118" s="6"/>
      <x:c r="G118" s="6"/>
      <x:c r="H118" s="15"/>
    </x:row>
    <x:row r="119" ht="18.600000381469727" customHeight="1">
      <x:c r="A119" s="128"/>
      <x:c r="B119" s="10"/>
      <x:c r="C119" s="10"/>
      <x:c r="D119" s="10"/>
      <x:c r="E119" s="10"/>
      <x:c r="F119" s="10"/>
      <x:c r="G119" s="10"/>
      <x:c r="H119" s="17"/>
    </x:row>
    <x:row r="120" ht="18.600000381469727" customHeight="1">
      <x:c r="A120" s="12" t="s">
        <x:v>39</x:v>
      </x:c>
      <x:c r="B120" s="7"/>
      <x:c r="C120" s="7"/>
      <x:c r="D120" s="7"/>
      <x:c r="E120" s="7"/>
      <x:c r="F120" s="7"/>
      <x:c r="G120" s="7"/>
      <x:c r="H120" s="16"/>
    </x:row>
    <x:row r="121" ht="18.600000381469727" customHeight="1">
      <x:c r="A121" s="14" t="s">
        <x:v>40</x:v>
      </x:c>
      <x:c r="B121" s="6"/>
      <x:c r="C121" s="6"/>
      <x:c r="D121" s="6"/>
      <x:c r="E121" s="6"/>
      <x:c r="F121" s="6"/>
      <x:c r="G121" s="6"/>
      <x:c r="H121" s="15"/>
    </x:row>
    <x:row r="122" ht="18.600000381469727" customHeight="1">
      <x:c r="A122" s="12" t="s">
        <x:v>41</x:v>
      </x:c>
      <x:c r="B122" s="7" t="n">
        <x:f t="shared" ref="B122:H122" si="6">SUM(B106:B121)</x:f>
        <x:v>0</x:v>
      </x:c>
      <x:c r="C122" s="7">
        <x:f t="shared" si="6"/>
        <x:v>0</x:v>
      </x:c>
      <x:c r="D122" s="7">
        <x:f t="shared" si="6"/>
        <x:v>0</x:v>
      </x:c>
      <x:c r="E122" s="7">
        <x:f t="shared" si="6"/>
        <x:v>0</x:v>
      </x:c>
      <x:c r="F122" s="7">
        <x:f t="shared" si="6"/>
        <x:v>0</x:v>
      </x:c>
      <x:c r="G122" s="7">
        <x:f t="shared" si="6"/>
        <x:v>0</x:v>
      </x:c>
      <x:c r="H122" s="16">
        <x:f t="shared" si="6"/>
        <x:v>0</x:v>
      </x:c>
    </x:row>
    <x:row r="123" ht="18.600000381469727" customHeight="1">
      <x:c r="A123" s="18" t="s">
        <x:v>42</x:v>
      </x:c>
      <x:c r="B123" s="129"/>
      <x:c r="C123" s="130"/>
      <x:c r="D123" s="130"/>
      <x:c r="E123" s="130"/>
      <x:c r="F123" s="130"/>
      <x:c r="G123" s="130"/>
      <x:c r="H123" s="8" t="n">
        <x:f>SUM(B122:H122)</x:f>
        <x:v>0</x:v>
      </x:c>
    </x:row>
    <x:row r="124">
      <x:c r="A124" s="116" t="s">
        <x:v>43</x:v>
      </x:c>
      <x:c r="B124" s="117"/>
      <x:c r="C124" s="117"/>
      <x:c r="D124" s="117"/>
      <x:c r="E124" s="117"/>
      <x:c r="F124" s="117"/>
      <x:c r="G124" s="117"/>
      <x:c r="H124" s="118"/>
    </x:row>
    <x:row r="125" ht="15">
      <x:c r="A125" s="119"/>
      <x:c r="B125" s="120"/>
      <x:c r="C125" s="120"/>
      <x:c r="D125" s="120"/>
      <x:c r="E125" s="120"/>
      <x:c r="F125" s="120"/>
      <x:c r="G125" s="120"/>
      <x:c r="H125" s="121"/>
    </x:row>
    <x:row r="127" ht="15"/>
    <x:row r="128" ht="30" customHeight="1">
      <x:c r="A128" s="122" t="s">
        <x:v>13</x:v>
      </x:c>
      <x:c r="B128" s="123"/>
      <x:c r="C128" s="123"/>
      <x:c r="D128" s="123"/>
      <x:c r="E128" s="123"/>
      <x:c r="F128" s="123"/>
      <x:c r="G128" s="123"/>
      <x:c r="H128" s="124"/>
    </x:row>
    <x:row r="129" ht="21.600000381469727" customHeight="1">
      <x:c r="A129" s="9" t="s">
        <x:v>14</x:v>
      </x:c>
      <x:c r="B129" s="22" t="s">
        <x:v>15</x:v>
      </x:c>
      <x:c r="C129" s="20"/>
      <x:c r="D129" s="24" t="s">
        <x:v>16</x:v>
      </x:c>
      <x:c r="E129" s="20"/>
      <x:c r="F129" s="19" t="s">
        <x:v>17</x:v>
      </x:c>
      <x:c r="G129" s="23" t="s">
        <x:v>18</x:v>
      </x:c>
      <x:c r="H129" s="21"/>
    </x:row>
    <x:row r="130" ht="21.600000381469727" customHeight="1">
      <x:c r="A130" s="125"/>
      <x:c r="B130" s="73" t="s">
        <x:v>19</x:v>
      </x:c>
      <x:c r="C130" s="73" t="s">
        <x:v>20</x:v>
      </x:c>
      <x:c r="D130" s="73" t="s">
        <x:v>21</x:v>
      </x:c>
      <x:c r="E130" s="73" t="s">
        <x:v>22</x:v>
      </x:c>
      <x:c r="F130" s="73" t="s">
        <x:v>23</x:v>
      </x:c>
      <x:c r="G130" s="73" t="s">
        <x:v>24</x:v>
      </x:c>
      <x:c r="H130" s="73" t="s">
        <x:v>25</x:v>
      </x:c>
    </x:row>
    <x:row r="131" ht="18.450000762939453" customHeight="1">
      <x:c r="A131" s="126"/>
      <x:c r="B131" s="74" t="str" cm="1">
        <x:f t="array" ref="B131">IF('Convalida dati'!N7&lt;&gt;"0",_xlfn.SEQUENCE(1,'Convalida dati'!N7,H105+1,1),"")</x:f>
      </x:c>
      <x:c r="C131" s="73"/>
      <x:c r="D131" s="74"/>
      <x:c r="E131" s="74"/>
      <x:c r="F131" s="74"/>
      <x:c r="G131" s="74"/>
      <x:c r="H131" s="74"/>
    </x:row>
    <x:row r="132" ht="18.450000762939453" customHeight="1">
      <x:c r="A132" s="12" t="s">
        <x:v>26</x:v>
      </x:c>
      <x:c r="B132" s="5"/>
      <x:c r="C132" s="5"/>
      <x:c r="D132" s="5"/>
      <x:c r="E132" s="5"/>
      <x:c r="F132" s="5"/>
      <x:c r="G132" s="5"/>
      <x:c r="H132" s="13"/>
    </x:row>
    <x:row r="133" ht="18.450000762939453" customHeight="1">
      <x:c r="A133" s="14" t="s">
        <x:v>27</x:v>
      </x:c>
      <x:c r="B133" s="6"/>
      <x:c r="C133" s="6"/>
      <x:c r="D133" s="6"/>
      <x:c r="E133" s="6"/>
      <x:c r="F133" s="6"/>
      <x:c r="G133" s="6"/>
      <x:c r="H133" s="15"/>
    </x:row>
    <x:row r="134" ht="18.450000762939453" customHeight="1">
      <x:c r="A134" s="12" t="s">
        <x:v>28</x:v>
      </x:c>
      <x:c r="B134" s="7"/>
      <x:c r="C134" s="7"/>
      <x:c r="D134" s="7"/>
      <x:c r="E134" s="7"/>
      <x:c r="F134" s="7"/>
      <x:c r="G134" s="7"/>
      <x:c r="H134" s="16"/>
    </x:row>
    <x:row r="135" ht="18.450000762939453" customHeight="1">
      <x:c r="A135" s="14" t="s">
        <x:v>29</x:v>
      </x:c>
      <x:c r="B135" s="6"/>
      <x:c r="C135" s="6"/>
      <x:c r="D135" s="6"/>
      <x:c r="E135" s="6"/>
      <x:c r="F135" s="6"/>
      <x:c r="G135" s="6"/>
      <x:c r="H135" s="15"/>
    </x:row>
    <x:row r="136" ht="18.450000762939453" customHeight="1">
      <x:c r="A136" s="12" t="s">
        <x:v>30</x:v>
      </x:c>
      <x:c r="B136" s="7"/>
      <x:c r="C136" s="7"/>
      <x:c r="D136" s="7"/>
      <x:c r="E136" s="7"/>
      <x:c r="F136" s="7"/>
      <x:c r="G136" s="7"/>
      <x:c r="H136" s="16"/>
    </x:row>
    <x:row r="137" ht="18.450000762939453" customHeight="1">
      <x:c r="A137" s="14" t="s">
        <x:v>31</x:v>
      </x:c>
      <x:c r="B137" s="6"/>
      <x:c r="C137" s="6"/>
      <x:c r="D137" s="6"/>
      <x:c r="E137" s="6"/>
      <x:c r="F137" s="6"/>
      <x:c r="G137" s="6"/>
      <x:c r="H137" s="15"/>
    </x:row>
    <x:row r="138" ht="18.450000762939453" customHeight="1">
      <x:c r="A138" s="12" t="s">
        <x:v>32</x:v>
      </x:c>
      <x:c r="B138" s="7"/>
      <x:c r="C138" s="7"/>
      <x:c r="D138" s="7"/>
      <x:c r="E138" s="7"/>
      <x:c r="F138" s="7"/>
      <x:c r="G138" s="7"/>
      <x:c r="H138" s="16"/>
    </x:row>
    <x:row r="139" ht="18.450000762939453" customHeight="1">
      <x:c r="A139" s="32" t="s">
        <x:v>33</x:v>
      </x:c>
      <x:c r="B139" s="33"/>
      <x:c r="C139" s="33"/>
      <x:c r="D139" s="33"/>
      <x:c r="E139" s="33"/>
      <x:c r="F139" s="33"/>
      <x:c r="G139" s="33"/>
      <x:c r="H139" s="34"/>
    </x:row>
    <x:row r="140" ht="18.450000762939453" customHeight="1">
      <x:c r="A140" s="12" t="s">
        <x:v>34</x:v>
      </x:c>
      <x:c r="B140" s="7"/>
      <x:c r="C140" s="7"/>
      <x:c r="D140" s="7"/>
      <x:c r="E140" s="7"/>
      <x:c r="F140" s="7"/>
      <x:c r="G140" s="7"/>
      <x:c r="H140" s="16"/>
    </x:row>
    <x:row r="141" ht="18.450000762939453" customHeight="1">
      <x:c r="A141" s="14" t="s">
        <x:v>35</x:v>
      </x:c>
      <x:c r="B141" s="6"/>
      <x:c r="C141" s="6"/>
      <x:c r="D141" s="6"/>
      <x:c r="E141" s="6"/>
      <x:c r="F141" s="6"/>
      <x:c r="G141" s="6"/>
      <x:c r="H141" s="15"/>
    </x:row>
    <x:row r="142" ht="18.450000762939453" customHeight="1">
      <x:c r="A142" s="12" t="s">
        <x:v>36</x:v>
      </x:c>
      <x:c r="B142" s="7"/>
      <x:c r="C142" s="7"/>
      <x:c r="D142" s="7"/>
      <x:c r="E142" s="7"/>
      <x:c r="F142" s="7"/>
      <x:c r="G142" s="7"/>
      <x:c r="H142" s="16"/>
    </x:row>
    <x:row r="143" ht="18.450000762939453" customHeight="1">
      <x:c r="A143" s="14" t="s">
        <x:v>37</x:v>
      </x:c>
      <x:c r="B143" s="6"/>
      <x:c r="C143" s="6"/>
      <x:c r="D143" s="6"/>
      <x:c r="E143" s="6"/>
      <x:c r="F143" s="6"/>
      <x:c r="G143" s="6"/>
      <x:c r="H143" s="15"/>
    </x:row>
    <x:row r="144" ht="18.450000762939453" customHeight="1">
      <x:c r="A144" s="127" t="s">
        <x:v>38</x:v>
      </x:c>
      <x:c r="B144" s="6"/>
      <x:c r="C144" s="6"/>
      <x:c r="D144" s="6"/>
      <x:c r="E144" s="6"/>
      <x:c r="F144" s="6"/>
      <x:c r="G144" s="6"/>
      <x:c r="H144" s="15"/>
    </x:row>
    <x:row r="145" ht="18.450000762939453" customHeight="1">
      <x:c r="A145" s="128"/>
      <x:c r="B145" s="10"/>
      <x:c r="C145" s="10"/>
      <x:c r="D145" s="10"/>
      <x:c r="E145" s="10"/>
      <x:c r="F145" s="10"/>
      <x:c r="G145" s="10"/>
      <x:c r="H145" s="17"/>
    </x:row>
    <x:row r="146" ht="18.450000762939453" customHeight="1">
      <x:c r="A146" s="12" t="s">
        <x:v>39</x:v>
      </x:c>
      <x:c r="B146" s="7"/>
      <x:c r="C146" s="7"/>
      <x:c r="D146" s="7"/>
      <x:c r="E146" s="7"/>
      <x:c r="F146" s="7"/>
      <x:c r="G146" s="7"/>
      <x:c r="H146" s="16"/>
    </x:row>
    <x:row r="147" ht="18.450000762939453" customHeight="1">
      <x:c r="A147" s="14" t="s">
        <x:v>40</x:v>
      </x:c>
      <x:c r="B147" s="6"/>
      <x:c r="C147" s="6"/>
      <x:c r="D147" s="6"/>
      <x:c r="E147" s="6"/>
      <x:c r="F147" s="6"/>
      <x:c r="G147" s="6"/>
      <x:c r="H147" s="15"/>
    </x:row>
    <x:row r="148" ht="18.450000762939453" customHeight="1">
      <x:c r="A148" s="12" t="s">
        <x:v>41</x:v>
      </x:c>
      <x:c r="B148" s="7" t="n">
        <x:f>SUM(B132:B147)</x:f>
        <x:v>0</x:v>
      </x:c>
      <x:c r="C148" s="7" t="n">
        <x:f t="shared" ref="C148:F148" si="7">SUM(C132:C147)</x:f>
        <x:v>0</x:v>
      </x:c>
      <x:c r="D148" s="7">
        <x:f t="shared" si="7"/>
        <x:v>0</x:v>
      </x:c>
      <x:c r="E148" s="7">
        <x:f t="shared" si="7"/>
        <x:v>0</x:v>
      </x:c>
      <x:c r="F148" s="7">
        <x:f t="shared" si="7"/>
        <x:v>0</x:v>
      </x:c>
      <x:c r="G148" s="7" t="n">
        <x:f>SUM(G132:G147)</x:f>
        <x:v>0</x:v>
      </x:c>
      <x:c r="H148" s="27" t="n">
        <x:f>SUM(H132:H147)</x:f>
        <x:v>0</x:v>
      </x:c>
    </x:row>
    <x:row r="149" ht="18.450000762939453" customHeight="1">
      <x:c r="A149" s="29" t="s">
        <x:v>42</x:v>
      </x:c>
      <x:c r="B149" s="71"/>
      <x:c r="C149" s="72"/>
      <x:c r="D149" s="72"/>
      <x:c r="E149" s="72"/>
      <x:c r="F149" s="72"/>
      <x:c r="G149" s="72"/>
      <x:c r="H149" s="30" t="n">
        <x:f>SUM(B148:H148)</x:f>
        <x:v>0</x:v>
      </x:c>
    </x:row>
    <x:row r="150" ht="18.450000762939453" customHeight="1">
      <x:c r="A150" s="25" t="s">
        <x:v>44</x:v>
      </x:c>
      <x:c r="B150" s="26"/>
      <x:c r="C150" s="26"/>
      <x:c r="D150" s="26"/>
      <x:c r="E150" s="26"/>
      <x:c r="F150" s="26"/>
      <x:c r="G150" s="26"/>
      <x:c r="H150" s="28" t="n">
        <x:f>SUM(B22:H22,B47:H47,B72:H72,B97:H97,B122:H122,B148:H148)</x:f>
        <x:v>2038.03</x:v>
      </x:c>
    </x:row>
    <x:row r="151" ht="18.450000762939453" customHeight="1">
      <x:c r="A151" s="35" t="s">
        <x:v>45</x:v>
      </x:c>
      <x:c r="B151" s="36" t="s">
        <x:v>46</x:v>
      </x:c>
      <x:c r="C151" s="37"/>
      <x:c r="D151" s="37"/>
      <x:c r="E151" s="37"/>
      <x:c r="F151" s="37"/>
      <x:c r="G151" s="37"/>
      <x:c r="H151" s="41" t="s">
        <x:v>47</x:v>
      </x:c>
    </x:row>
    <x:row r="152" ht="18.450000762939453" customHeight="1">
      <x:c r="A152" s="38" t="s">
        <x:v>48</x:v>
      </x:c>
      <x:c r="B152" s="39" t="s">
        <x:v>46</x:v>
      </x:c>
      <x:c r="C152" s="40"/>
      <x:c r="D152" s="40"/>
      <x:c r="E152" s="40"/>
      <x:c r="F152" s="40"/>
      <x:c r="G152" s="40"/>
      <x:c r="H152" s="41" t="s">
        <x:v>47</x:v>
      </x:c>
    </x:row>
  </x:sheetData>
  <x:mergeCells>
    <x:mergeCell ref="A27:H27"/>
    <x:mergeCell ref="A128:H128"/>
    <x:mergeCell ref="A104:A105"/>
    <x:mergeCell ref="A118:A119"/>
    <x:mergeCell ref="B123:G123"/>
    <x:mergeCell ref="A93:A94"/>
    <x:mergeCell ref="A29:A30"/>
    <x:mergeCell ref="A43:A44"/>
    <x:mergeCell ref="B48:G48"/>
    <x:mergeCell ref="A49:H50"/>
    <x:mergeCell ref="A52:H52"/>
    <x:mergeCell ref="A54:A55"/>
    <x:mergeCell ref="A68:A69"/>
    <x:mergeCell ref="B73:G73"/>
    <x:mergeCell ref="A74:H75"/>
    <x:mergeCell ref="A77:H77"/>
    <x:mergeCell ref="A2:H2"/>
    <x:mergeCell ref="A4:A5"/>
    <x:mergeCell ref="A18:A19"/>
    <x:mergeCell ref="B23:G23"/>
    <x:mergeCell ref="A24:H25"/>
    <x:mergeCell ref="A124:H125"/>
    <x:mergeCell ref="A102:H102"/>
    <x:mergeCell ref="A130:A131"/>
    <x:mergeCell ref="A144:A145"/>
    <x:mergeCell ref="A79:A80"/>
    <x:mergeCell ref="B98:G98"/>
    <x:mergeCell ref="A99:H100"/>
  </x:mergeCells>
  <x:conditionalFormatting sqref="B5:H5">
    <x:cfRule type="containsErrors" dxfId="0" priority="2">
      <x:formula>ISERROR(B5)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9.8984375" customWidth="1"/>
  </x:cols>
  <x:sheetData>
    <x:row r="1">
      <x:c r="A1" s="114"/>
      <x:c r="B1" s="115"/>
      <x:c r="C1"/>
      <x:c r="D1"/>
      <x:c r="E1"/>
      <x:c r="F1"/>
      <x:c r="G1"/>
      <x:c r="H1" s="115"/>
      <x:c r="I1"/>
      <x:c r="J1"/>
      <x:c r="K1"/>
      <x:c r="L1" s="115"/>
      <x:c r="M1"/>
      <x:c r="N1"/>
      <x:c r="O1"/>
      <x:c r="P1"/>
      <x:c r="Q1"/>
      <x:c r="R1"/>
      <x:c r="S1" s="115"/>
      <x:c r="T1"/>
      <x:c r="U1"/>
      <x:c r="V1"/>
      <x:c r="W1" s="115"/>
      <x:c r="X1"/>
      <x:c r="Y1"/>
      <x:c r="Z1" s="115"/>
      <x:c r="AA1"/>
      <x:c r="AB1"/>
      <x:c r="AC1"/>
      <x:c r="AD1" s="115"/>
      <x:c r="AE1"/>
      <x:c r="AF1"/>
      <x:c r="AG1"/>
      <x:c r="AH1"/>
      <x:c r="AI1"/>
      <x:c r="AJ1" s="115"/>
      <x:c r="AK1"/>
      <x:c r="AL1"/>
      <x:c r="AM1" s="115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 s="115"/>
      <x:c r="AE62"/>
      <x:c r="AF62"/>
      <x:c r="AG62"/>
      <x:c r="AH62"/>
      <x:c r="AI62"/>
      <x:c r="AJ62"/>
      <x:c r="AK62"/>
      <x:c r="AL62"/>
      <x:c r="AM62" s="115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</x:row>
    <x:row r="64">
      <x:c r="A64" s="115"/>
      <x:c r="B64"/>
      <x:c r="C64"/>
      <x:c r="D64" s="115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</x:row>
    <x:row r="65">
      <x:c r="A65"/>
      <x:c r="B65"/>
      <x:c r="C65"/>
      <x:c r="D65"/>
      <x:c r="E65"/>
      <x:c r="F65"/>
      <x:c r="G65"/>
      <x:c r="H65" s="115"/>
      <x:c r="I65"/>
      <x:c r="J65"/>
      <x:c r="K65"/>
      <x:c r="L65" s="115"/>
      <x:c r="M65"/>
      <x:c r="N65"/>
      <x:c r="O65"/>
      <x:c r="P65"/>
      <x:c r="Q65"/>
      <x:c r="R65"/>
      <x:c r="S65"/>
      <x:c r="T65" s="115"/>
      <x:c r="U65"/>
      <x:c r="V65"/>
      <x:c r="W65"/>
      <x:c r="X65"/>
      <x:c r="Y65"/>
      <x:c r="Z65"/>
      <x:c r="AA65"/>
      <x:c r="AB65"/>
      <x:c r="AC65" s="115"/>
      <x:c r="AD65"/>
      <x:c r="AE65"/>
      <x:c r="AF65"/>
      <x:c r="AG65"/>
      <x:c r="AH65"/>
      <x:c r="AI65"/>
      <x:c r="AJ65"/>
      <x:c r="AK65"/>
      <x:c r="AL65" s="115"/>
      <x:c r="AM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" defaultRowHeight="14.399999618530273"/>
  <x:cols>
    <x:col min="1" max="1" width="23.59765625" style="1" customWidth="1"/>
    <x:col min="2" max="8" width="13.09765625" style="1" customWidth="1"/>
    <x:col min="9" max="11" width="10.3984375" style="1" customWidth="1"/>
    <x:col min="12" max="16384" width="8" style="1" customWidth="0"/>
  </x:cols>
  <x:sheetData>
    <x:row r="1" ht="15"/>
    <x:row r="2" ht="35.099998474121094" customHeight="1">
      <x:c r="A2" s="122" t="s">
        <x:v>13</x:v>
      </x:c>
      <x:c r="B2" s="123"/>
      <x:c r="C2" s="123"/>
      <x:c r="D2" s="123"/>
      <x:c r="E2" s="123"/>
      <x:c r="F2" s="123"/>
      <x:c r="G2" s="123"/>
      <x:c r="H2" s="124"/>
      <x:c r="I2" s="2"/>
      <x:c r="J2" s="2"/>
      <x:c r="K2" s="2"/>
      <x:c r="L2" s="2"/>
      <x:c r="M2" s="2"/>
      <x:c r="N2" s="2"/>
    </x:row>
    <x:row r="3" ht="30" customHeight="1">
      <x:c r="A3" s="9" t="s">
        <x:v>14</x:v>
      </x:c>
      <x:c r="B3" s="20" t="s">
        <x:v>15</x:v>
      </x:c>
      <x:c r="C3" s="20" t="s">
        <x:v>49</x:v>
      </x:c>
      <x:c r="D3" s="24" t="s">
        <x:v>16</x:v>
      </x:c>
      <x:c r="E3" s="20" t="s">
        <x:v>49</x:v>
      </x:c>
      <x:c r="F3" s="19" t="s">
        <x:v>17</x:v>
      </x:c>
      <x:c r="G3" s="23" t="s">
        <x:v>18</x:v>
      </x:c>
      <x:c r="H3" s="21"/>
      <x:c r="I3" s="3"/>
      <x:c r="J3" s="3"/>
      <x:c r="K3" s="3"/>
      <x:c r="L3" s="3"/>
      <x:c r="M3" s="3"/>
      <x:c r="N3" s="3"/>
    </x:row>
    <x:row r="4" ht="21.600000381469727" customHeight="1">
      <x:c r="A4" s="131"/>
      <x:c r="B4" s="68" t="e">
        <x:f>IF(TIMING!B3&lt;&gt;"",TIMING!B3,"")</x:f>
        <x:v>#VALUE!</x:v>
      </x:c>
      <x:c r="C4" s="68" t="str">
        <x:f>IF(TIMING!B4&lt;&gt;"",TIMING!B4,"")</x:f>
        <x:v>Tuesday</x:v>
      </x:c>
      <x:c r="D4" s="68" t="str">
        <x:f>IF(TIMING!B5&lt;&gt;"",TIMING!B5,"")</x:f>
        <x:v>Wednesday</x:v>
      </x:c>
      <x:c r="E4" s="68" t="str">
        <x:f>IF(TIMING!B6&lt;&gt;"",TIMING!B6,"")</x:f>
        <x:v>Thursday</x:v>
      </x:c>
      <x:c r="F4" s="68" t="str">
        <x:f>IF(TIMING!B7&lt;&gt;"",TIMING!B7,"")</x:f>
        <x:v>Friday</x:v>
      </x:c>
      <x:c r="G4" s="68" t="str">
        <x:f>IF(TIMING!B8&lt;&gt;"",TIMING!B8,"")</x:f>
        <x:v>Saturday</x:v>
      </x:c>
      <x:c r="H4" s="68" t="str">
        <x:f>IF(TIMING!B9&lt;&gt;"",TIMING!B9,"")</x:f>
        <x:v>Sunday</x:v>
      </x:c>
      <x:c r="I4" s="3"/>
      <x:c r="J4" s="3"/>
      <x:c r="K4" s="3"/>
      <x:c r="L4" s="3"/>
      <x:c r="M4" s="3"/>
      <x:c r="N4" s="3"/>
    </x:row>
    <x:row r="5" ht="21.600000381469727" customHeight="1">
      <x:c r="A5" s="132"/>
      <x:c r="B5" s="68" t="e">
        <x:f>IF(TIMING!A3&lt;&gt;"",TIMING!A3,"")</x:f>
        <x:v>#VALUE!</x:v>
      </x:c>
      <x:c r="C5" s="68" t="n">
        <x:f>IF(TIMING!A4&lt;&gt;"",TIMING!A4,"")</x:f>
        <x:v>46175</x:v>
      </x:c>
      <x:c r="D5" s="68" t="n">
        <x:f>IF(TIMING!A5&lt;&gt;"",TIMING!A5,"")</x:f>
        <x:v>46176</x:v>
      </x:c>
      <x:c r="E5" s="68" t="n">
        <x:f>IF(TIMING!A6&lt;&gt;"",TIMING!A6,"")</x:f>
        <x:v>46177</x:v>
      </x:c>
      <x:c r="F5" s="68" t="n">
        <x:f>IF(TIMING!A7&lt;&gt;"",TIMING!A7,"")</x:f>
        <x:v>46178</x:v>
      </x:c>
      <x:c r="G5" s="68" t="n">
        <x:f>IF(TIMING!A8&lt;&gt;"",TIMING!A8,"")</x:f>
        <x:v>46179</x:v>
      </x:c>
      <x:c r="H5" s="68" t="n">
        <x:f>IF(TIMING!A9&lt;&gt;"",TIMING!A9,"")</x:f>
        <x:v>46180</x:v>
      </x:c>
      <x:c r="M5" s="3"/>
      <x:c r="N5" s="3"/>
    </x:row>
    <x:row r="6" ht="18.600000381469727" customHeight="1">
      <x:c r="A6" s="12" t="s">
        <x:v>26</x:v>
      </x:c>
      <x:c r="B6" s="5"/>
      <x:c r="C6" s="5"/>
      <x:c r="D6" s="69"/>
      <x:c r="E6" s="5"/>
      <x:c r="F6" s="69"/>
      <x:c r="G6" s="5"/>
      <x:c r="H6" s="13"/>
    </x:row>
    <x:row r="7" ht="18.600000381469727" customHeight="1">
      <x:c r="A7" s="14" t="s">
        <x:v>27</x:v>
      </x:c>
      <x:c r="B7" s="6"/>
      <x:c r="C7" s="6"/>
      <x:c r="D7" s="6"/>
      <x:c r="E7" s="6"/>
      <x:c r="F7" s="6"/>
      <x:c r="G7" s="6"/>
      <x:c r="H7" s="15"/>
    </x:row>
    <x:row r="8" ht="18.600000381469727" customHeight="1">
      <x:c r="A8" s="12" t="s">
        <x:v>28</x:v>
      </x:c>
      <x:c r="B8" s="7"/>
      <x:c r="C8" s="7"/>
      <x:c r="D8" s="7"/>
      <x:c r="E8" s="7"/>
      <x:c r="F8" s="7"/>
      <x:c r="G8" s="7"/>
      <x:c r="H8" s="16"/>
    </x:row>
    <x:row r="9" ht="18.600000381469727" customHeight="1">
      <x:c r="A9" s="14" t="s">
        <x:v>29</x:v>
      </x:c>
      <x:c r="B9" s="6"/>
      <x:c r="C9" s="6"/>
      <x:c r="D9" s="6"/>
      <x:c r="E9" s="6"/>
      <x:c r="F9" s="6"/>
      <x:c r="G9" s="6"/>
      <x:c r="H9" s="15"/>
    </x:row>
    <x:row r="10" ht="18.600000381469727" customHeight="1">
      <x:c r="A10" s="12" t="s">
        <x:v>30</x:v>
      </x:c>
      <x:c r="B10" s="7"/>
      <x:c r="C10" s="7"/>
      <x:c r="D10" s="7"/>
      <x:c r="E10" s="7"/>
      <x:c r="F10" s="7"/>
      <x:c r="G10" s="7"/>
      <x:c r="H10" s="16"/>
    </x:row>
    <x:row r="11" ht="18.600000381469727" customHeight="1">
      <x:c r="A11" s="14" t="s">
        <x:v>31</x:v>
      </x:c>
      <x:c r="B11" s="6"/>
      <x:c r="C11" s="6"/>
      <x:c r="D11" s="6"/>
      <x:c r="E11" s="6"/>
      <x:c r="F11" s="6"/>
      <x:c r="G11" s="6"/>
      <x:c r="H11" s="15"/>
    </x:row>
    <x:row r="12" ht="18.600000381469727" customHeight="1">
      <x:c r="A12" s="12" t="s">
        <x:v>32</x:v>
      </x:c>
      <x:c r="B12" s="7"/>
      <x:c r="C12" s="7"/>
      <x:c r="D12" s="7"/>
      <x:c r="E12" s="7"/>
      <x:c r="F12" s="7"/>
      <x:c r="G12" s="7"/>
      <x:c r="H12" s="16"/>
    </x:row>
    <x:row r="13" ht="18.600000381469727" customHeight="1">
      <x:c r="A13" s="32" t="s">
        <x:v>33</x:v>
      </x:c>
      <x:c r="B13" s="33"/>
      <x:c r="C13" s="33"/>
      <x:c r="D13" s="33"/>
      <x:c r="E13" s="33"/>
      <x:c r="F13" s="33"/>
      <x:c r="G13" s="33"/>
      <x:c r="H13" s="34"/>
    </x:row>
    <x:row r="14" ht="18.600000381469727" customHeight="1">
      <x:c r="A14" s="12" t="s">
        <x:v>34</x:v>
      </x:c>
      <x:c r="B14" s="7"/>
      <x:c r="C14" s="7"/>
      <x:c r="D14" s="7"/>
      <x:c r="E14" s="7"/>
      <x:c r="F14" s="7"/>
      <x:c r="G14" s="7"/>
      <x:c r="H14" s="16"/>
    </x:row>
    <x:row r="15" ht="18.600000381469727" customHeight="1">
      <x:c r="A15" s="14" t="s">
        <x:v>35</x:v>
      </x:c>
      <x:c r="B15" s="6"/>
      <x:c r="C15" s="6"/>
      <x:c r="D15" s="6"/>
      <x:c r="E15" s="6"/>
      <x:c r="F15" s="6"/>
      <x:c r="G15" s="6"/>
      <x:c r="H15" s="15"/>
    </x:row>
    <x:row r="16" ht="18.600000381469727" customHeight="1">
      <x:c r="A16" s="12" t="s">
        <x:v>36</x:v>
      </x:c>
      <x:c r="B16" s="7"/>
      <x:c r="C16" s="7"/>
      <x:c r="D16" s="7"/>
      <x:c r="E16" s="7"/>
      <x:c r="F16" s="7"/>
      <x:c r="G16" s="7"/>
      <x:c r="H16" s="16"/>
    </x:row>
    <x:row r="17" ht="18.600000381469727" customHeight="1">
      <x:c r="A17" s="14" t="s">
        <x:v>37</x:v>
      </x:c>
      <x:c r="B17" s="6"/>
      <x:c r="C17" s="6"/>
      <x:c r="D17" s="6"/>
      <x:c r="E17" s="6"/>
      <x:c r="F17" s="6"/>
      <x:c r="G17" s="6"/>
      <x:c r="H17" s="15"/>
    </x:row>
    <x:row r="18" ht="18.600000381469727" customHeight="1">
      <x:c r="A18" s="127" t="s">
        <x:v>38</x:v>
      </x:c>
      <x:c r="B18" s="6"/>
      <x:c r="C18" s="6"/>
      <x:c r="D18" s="6"/>
      <x:c r="E18" s="6"/>
      <x:c r="F18" s="6"/>
      <x:c r="G18" s="6"/>
      <x:c r="H18" s="15"/>
    </x:row>
    <x:row r="19" ht="18.600000381469727" customHeight="1">
      <x:c r="A19" s="128"/>
      <x:c r="B19" s="10"/>
      <x:c r="C19" s="10"/>
      <x:c r="D19" s="10"/>
      <x:c r="E19" s="10"/>
      <x:c r="F19" s="10"/>
      <x:c r="G19" s="10"/>
      <x:c r="H19" s="17"/>
    </x:row>
    <x:row r="20" ht="18.600000381469727" customHeight="1">
      <x:c r="A20" s="12" t="s">
        <x:v>39</x:v>
      </x:c>
      <x:c r="B20" s="7"/>
      <x:c r="C20" s="7"/>
      <x:c r="D20" s="7"/>
      <x:c r="E20" s="7"/>
      <x:c r="F20" s="7"/>
      <x:c r="G20" s="7"/>
      <x:c r="H20" s="16"/>
    </x:row>
    <x:row r="21" ht="18.600000381469727" customHeight="1">
      <x:c r="A21" s="14" t="s">
        <x:v>40</x:v>
      </x:c>
      <x:c r="B21" s="6"/>
      <x:c r="C21" s="6"/>
      <x:c r="D21" s="6"/>
      <x:c r="E21" s="6"/>
      <x:c r="F21" s="6"/>
      <x:c r="G21" s="6"/>
      <x:c r="H21" s="15"/>
    </x:row>
    <x:row r="22" ht="18.600000381469727" customHeight="1">
      <x:c r="A22" s="12" t="s">
        <x:v>41</x:v>
      </x:c>
      <x:c r="B22" s="7" t="n">
        <x:f t="shared" ref="B22:H22" si="0">SUM(B6:B21)</x:f>
        <x:v>0</x:v>
      </x:c>
      <x:c r="C22" s="7">
        <x:f t="shared" si="0"/>
        <x:v>0</x:v>
      </x:c>
      <x:c r="D22" s="7">
        <x:f t="shared" si="0"/>
        <x:v>0</x:v>
      </x:c>
      <x:c r="E22" s="7">
        <x:f t="shared" si="0"/>
        <x:v>0</x:v>
      </x:c>
      <x:c r="F22" s="7">
        <x:f t="shared" si="0"/>
        <x:v>0</x:v>
      </x:c>
      <x:c r="G22" s="7">
        <x:f t="shared" si="0"/>
        <x:v>0</x:v>
      </x:c>
      <x:c r="H22" s="27">
        <x:f t="shared" si="0"/>
        <x:v>0</x:v>
      </x:c>
    </x:row>
    <x:row r="23" ht="18.600000381469727" customHeight="1">
      <x:c r="A23" s="18" t="s">
        <x:v>42</x:v>
      </x:c>
      <x:c r="B23" s="129"/>
      <x:c r="C23" s="130"/>
      <x:c r="D23" s="130"/>
      <x:c r="E23" s="130"/>
      <x:c r="F23" s="130"/>
      <x:c r="G23" s="130"/>
      <x:c r="H23" s="8" t="n">
        <x:f>SUM(B22:H22)</x:f>
        <x:v>0</x:v>
      </x:c>
    </x:row>
    <x:row r="24">
      <x:c r="A24" s="116" t="s">
        <x:v>50</x:v>
      </x:c>
      <x:c r="B24" s="117"/>
      <x:c r="C24" s="117"/>
      <x:c r="D24" s="117"/>
      <x:c r="E24" s="117"/>
      <x:c r="F24" s="117"/>
      <x:c r="G24" s="117"/>
      <x:c r="H24" s="118"/>
    </x:row>
    <x:row r="25" ht="15">
      <x:c r="A25" s="119"/>
      <x:c r="B25" s="120"/>
      <x:c r="C25" s="120"/>
      <x:c r="D25" s="120"/>
      <x:c r="E25" s="120"/>
      <x:c r="F25" s="120"/>
      <x:c r="G25" s="120"/>
      <x:c r="H25" s="121"/>
    </x:row>
    <x:row r="26" ht="15"/>
    <x:row r="27" ht="35.099998474121094" customHeight="1">
      <x:c r="A27" s="122" t="s">
        <x:v>13</x:v>
      </x:c>
      <x:c r="B27" s="123"/>
      <x:c r="C27" s="123"/>
      <x:c r="D27" s="123"/>
      <x:c r="E27" s="123"/>
      <x:c r="F27" s="123"/>
      <x:c r="G27" s="123"/>
      <x:c r="H27" s="124"/>
      <x:c r="I27" s="2"/>
      <x:c r="J27" s="2"/>
      <x:c r="K27" s="2"/>
      <x:c r="L27" s="2"/>
      <x:c r="M27" s="2"/>
      <x:c r="N27" s="2"/>
    </x:row>
    <x:row r="28" ht="30" customHeight="1">
      <x:c r="A28" s="9" t="s">
        <x:v>14</x:v>
      </x:c>
      <x:c r="B28" s="20" t="s">
        <x:v>15</x:v>
      </x:c>
      <x:c r="C28" s="20" t="s">
        <x:v>49</x:v>
      </x:c>
      <x:c r="D28" s="24" t="s">
        <x:v>16</x:v>
      </x:c>
      <x:c r="E28" s="20" t="s">
        <x:v>49</x:v>
      </x:c>
      <x:c r="F28" s="19" t="s">
        <x:v>17</x:v>
      </x:c>
      <x:c r="G28" s="23" t="s">
        <x:v>18</x:v>
      </x:c>
      <x:c r="H28" s="21"/>
      <x:c r="I28" s="3"/>
      <x:c r="J28" s="3"/>
      <x:c r="K28" s="3"/>
      <x:c r="L28" s="3"/>
      <x:c r="M28" s="3"/>
      <x:c r="N28" s="3"/>
    </x:row>
    <x:row r="29" ht="21.600000381469727" customHeight="1">
      <x:c r="A29" s="125"/>
      <x:c r="B29" s="68" t="str">
        <x:f>IF(TIMING!B10&lt;&gt;"",TIMING!B10,"")</x:f>
        <x:v>Monday</x:v>
      </x:c>
      <x:c r="C29" s="68" t="str">
        <x:f>IF(TIMING!B11&lt;&gt;"",TIMING!B11,"")</x:f>
        <x:v>Tuesday</x:v>
      </x:c>
      <x:c r="D29" s="68" t="str">
        <x:f>IF(TIMING!B12&lt;&gt;"",TIMING!B12,"")</x:f>
        <x:v>Wednesday</x:v>
      </x:c>
      <x:c r="E29" s="68" t="str">
        <x:f>IF(TIMING!B13&lt;&gt;"",TIMING!B13,"")</x:f>
        <x:v>Thursday</x:v>
      </x:c>
      <x:c r="F29" s="68" t="str">
        <x:f>IF(TIMING!B14&lt;&gt;"",TIMING!B14,"")</x:f>
        <x:v>Friday</x:v>
      </x:c>
      <x:c r="G29" s="68" t="str">
        <x:f>IF(TIMING!B15&lt;&gt;"",TIMING!B15,"")</x:f>
        <x:v>Saturday</x:v>
      </x:c>
      <x:c r="H29" s="68" t="str">
        <x:f>IF(TIMING!B16&lt;&gt;"",TIMING!B16,"")</x:f>
        <x:v>Sunday</x:v>
      </x:c>
      <x:c r="K29" s="3"/>
      <x:c r="L29" s="3"/>
      <x:c r="M29" s="3"/>
      <x:c r="N29" s="3"/>
    </x:row>
    <x:row r="30" ht="21.600000381469727" customHeight="1">
      <x:c r="A30" s="126"/>
      <x:c r="B30" s="68" t="n">
        <x:f>IF(TIMING!A10&lt;&gt;"",TIMING!A10,"")</x:f>
        <x:v>46181</x:v>
      </x:c>
      <x:c r="C30" s="68" t="n">
        <x:f>IF(TIMING!A11&lt;&gt;"",TIMING!A11,"")</x:f>
        <x:v>46182</x:v>
      </x:c>
      <x:c r="D30" s="68" t="n">
        <x:f>IF(TIMING!A12&lt;&gt;"",TIMING!A12,"")</x:f>
        <x:v>46183</x:v>
      </x:c>
      <x:c r="E30" s="68" t="n">
        <x:f>IF(TIMING!A13&lt;&gt;"",TIMING!A13,"")</x:f>
        <x:v>46184</x:v>
      </x:c>
      <x:c r="F30" s="68" t="n">
        <x:f>IF(TIMING!A14&lt;&gt;"",TIMING!A14,"")</x:f>
        <x:v>46185</x:v>
      </x:c>
      <x:c r="G30" s="68" t="n">
        <x:f>IF(TIMING!A15&lt;&gt;"",TIMING!A15,"")</x:f>
        <x:v>46186</x:v>
      </x:c>
      <x:c r="H30" s="68" t="n">
        <x:f>IF(TIMING!A16&lt;&gt;"",TIMING!A16,"")</x:f>
        <x:v>46187</x:v>
      </x:c>
      <x:c r="M30" s="3"/>
      <x:c r="N30" s="3"/>
    </x:row>
    <x:row r="31" ht="18.600000381469727" customHeight="1">
      <x:c r="A31" s="12" t="s">
        <x:v>26</x:v>
      </x:c>
      <x:c r="B31" s="5"/>
      <x:c r="C31" s="5"/>
      <x:c r="D31" s="5"/>
      <x:c r="E31" s="5"/>
      <x:c r="F31" s="5"/>
      <x:c r="G31" s="5"/>
      <x:c r="H31" s="13"/>
    </x:row>
    <x:row r="32" ht="18.600000381469727" customHeight="1">
      <x:c r="A32" s="14" t="s">
        <x:v>27</x:v>
      </x:c>
      <x:c r="B32" s="6"/>
      <x:c r="C32" s="6"/>
      <x:c r="D32" s="6"/>
      <x:c r="E32" s="6"/>
      <x:c r="F32" s="6"/>
      <x:c r="G32" s="6"/>
      <x:c r="H32" s="15"/>
    </x:row>
    <x:row r="33" ht="18.600000381469727" customHeight="1">
      <x:c r="A33" s="12" t="s">
        <x:v>28</x:v>
      </x:c>
      <x:c r="B33" s="7"/>
      <x:c r="C33" s="7"/>
      <x:c r="D33" s="7"/>
      <x:c r="E33" s="7"/>
      <x:c r="F33" s="7"/>
      <x:c r="G33" s="7"/>
      <x:c r="H33" s="16"/>
    </x:row>
    <x:row r="34" ht="18.600000381469727" customHeight="1">
      <x:c r="A34" s="14" t="s">
        <x:v>29</x:v>
      </x:c>
      <x:c r="B34" s="6"/>
      <x:c r="C34" s="6"/>
      <x:c r="D34" s="6"/>
      <x:c r="E34" s="6"/>
      <x:c r="F34" s="6"/>
      <x:c r="G34" s="6"/>
      <x:c r="H34" s="15"/>
    </x:row>
    <x:row r="35" ht="18.600000381469727" customHeight="1">
      <x:c r="A35" s="12" t="s">
        <x:v>30</x:v>
      </x:c>
      <x:c r="B35" s="7"/>
      <x:c r="C35" s="7"/>
      <x:c r="D35" s="7"/>
      <x:c r="E35" s="7"/>
      <x:c r="F35" s="7"/>
      <x:c r="G35" s="7"/>
      <x:c r="H35" s="16"/>
    </x:row>
    <x:row r="36" ht="18.600000381469727" customHeight="1">
      <x:c r="A36" s="14" t="s">
        <x:v>31</x:v>
      </x:c>
      <x:c r="B36" s="6"/>
      <x:c r="C36" s="6"/>
      <x:c r="D36" s="6"/>
      <x:c r="E36" s="6"/>
      <x:c r="F36" s="6"/>
      <x:c r="G36" s="6"/>
      <x:c r="H36" s="15"/>
    </x:row>
    <x:row r="37" ht="18.600000381469727" customHeight="1">
      <x:c r="A37" s="12" t="s">
        <x:v>32</x:v>
      </x:c>
      <x:c r="B37" s="7"/>
      <x:c r="C37" s="7"/>
      <x:c r="D37" s="7"/>
      <x:c r="E37" s="7"/>
      <x:c r="F37" s="7"/>
      <x:c r="G37" s="7"/>
      <x:c r="H37" s="16"/>
    </x:row>
    <x:row r="38" ht="18.600000381469727" customHeight="1">
      <x:c r="A38" s="32" t="s">
        <x:v>33</x:v>
      </x:c>
      <x:c r="B38" s="33"/>
      <x:c r="C38" s="33"/>
      <x:c r="D38" s="33"/>
      <x:c r="E38" s="33"/>
      <x:c r="F38" s="33"/>
      <x:c r="G38" s="33"/>
      <x:c r="H38" s="34"/>
    </x:row>
    <x:row r="39" ht="18.600000381469727" customHeight="1">
      <x:c r="A39" s="12" t="s">
        <x:v>34</x:v>
      </x:c>
      <x:c r="B39" s="7"/>
      <x:c r="C39" s="7"/>
      <x:c r="D39" s="7"/>
      <x:c r="E39" s="7"/>
      <x:c r="F39" s="7"/>
      <x:c r="G39" s="7"/>
      <x:c r="H39" s="16"/>
    </x:row>
    <x:row r="40" ht="18.600000381469727" customHeight="1">
      <x:c r="A40" s="14" t="s">
        <x:v>35</x:v>
      </x:c>
      <x:c r="B40" s="6"/>
      <x:c r="C40" s="6"/>
      <x:c r="D40" s="6"/>
      <x:c r="E40" s="6"/>
      <x:c r="F40" s="6"/>
      <x:c r="G40" s="6"/>
      <x:c r="H40" s="15"/>
    </x:row>
    <x:row r="41" ht="18.600000381469727" customHeight="1">
      <x:c r="A41" s="12" t="s">
        <x:v>36</x:v>
      </x:c>
      <x:c r="B41" s="7"/>
      <x:c r="C41" s="7"/>
      <x:c r="D41" s="7"/>
      <x:c r="E41" s="7"/>
      <x:c r="F41" s="7"/>
      <x:c r="G41" s="7"/>
      <x:c r="H41" s="16"/>
    </x:row>
    <x:row r="42" ht="18.600000381469727" customHeight="1">
      <x:c r="A42" s="14" t="s">
        <x:v>37</x:v>
      </x:c>
      <x:c r="B42" s="6"/>
      <x:c r="C42" s="6"/>
      <x:c r="D42" s="6"/>
      <x:c r="E42" s="6"/>
      <x:c r="F42" s="6"/>
      <x:c r="G42" s="6"/>
      <x:c r="H42" s="15"/>
    </x:row>
    <x:row r="43" ht="18.600000381469727" customHeight="1">
      <x:c r="A43" s="127" t="s">
        <x:v>38</x:v>
      </x:c>
      <x:c r="B43" s="6"/>
      <x:c r="C43" s="6"/>
      <x:c r="D43" s="6"/>
      <x:c r="E43" s="6"/>
      <x:c r="F43" s="6"/>
      <x:c r="G43" s="6"/>
      <x:c r="H43" s="15"/>
    </x:row>
    <x:row r="44" ht="18.600000381469727" customHeight="1">
      <x:c r="A44" s="128"/>
      <x:c r="B44" s="10"/>
      <x:c r="C44" s="10"/>
      <x:c r="D44" s="10"/>
      <x:c r="E44" s="10"/>
      <x:c r="F44" s="10"/>
      <x:c r="G44" s="10"/>
      <x:c r="H44" s="17"/>
    </x:row>
    <x:row r="45" ht="18.600000381469727" customHeight="1">
      <x:c r="A45" s="12" t="s">
        <x:v>39</x:v>
      </x:c>
      <x:c r="B45" s="7"/>
      <x:c r="C45" s="7"/>
      <x:c r="D45" s="7"/>
      <x:c r="E45" s="7"/>
      <x:c r="F45" s="7"/>
      <x:c r="G45" s="7"/>
      <x:c r="H45" s="16"/>
    </x:row>
    <x:row r="46" ht="18.600000381469727" customHeight="1">
      <x:c r="A46" s="14" t="s">
        <x:v>40</x:v>
      </x:c>
      <x:c r="B46" s="6"/>
      <x:c r="C46" s="6"/>
      <x:c r="D46" s="6"/>
      <x:c r="E46" s="6"/>
      <x:c r="F46" s="6"/>
      <x:c r="G46" s="6"/>
      <x:c r="H46" s="15"/>
    </x:row>
    <x:row r="47" ht="18.600000381469727" customHeight="1">
      <x:c r="A47" s="12" t="s">
        <x:v>41</x:v>
      </x:c>
      <x:c r="B47" s="7" t="n">
        <x:f t="shared" ref="B47:H47" si="1">SUM(B31:B46)</x:f>
        <x:v>0</x:v>
      </x:c>
      <x:c r="C47" s="7">
        <x:f t="shared" si="1"/>
        <x:v>0</x:v>
      </x:c>
      <x:c r="D47" s="7">
        <x:f t="shared" si="1"/>
        <x:v>0</x:v>
      </x:c>
      <x:c r="E47" s="7">
        <x:f t="shared" si="1"/>
        <x:v>0</x:v>
      </x:c>
      <x:c r="F47" s="7">
        <x:f t="shared" si="1"/>
        <x:v>0</x:v>
      </x:c>
      <x:c r="G47" s="7">
        <x:f t="shared" si="1"/>
        <x:v>0</x:v>
      </x:c>
      <x:c r="H47" s="16">
        <x:f t="shared" si="1"/>
        <x:v>0</x:v>
      </x:c>
    </x:row>
    <x:row r="48" ht="18.600000381469727" customHeight="1">
      <x:c r="A48" s="18" t="s">
        <x:v>42</x:v>
      </x:c>
      <x:c r="B48" s="129"/>
      <x:c r="C48" s="130"/>
      <x:c r="D48" s="130"/>
      <x:c r="E48" s="130"/>
      <x:c r="F48" s="130"/>
      <x:c r="G48" s="130"/>
      <x:c r="H48" s="8" t="n">
        <x:f>SUM(B47:H47)</x:f>
        <x:v>0</x:v>
      </x:c>
    </x:row>
    <x:row r="49">
      <x:c r="A49" s="116" t="s">
        <x:v>51</x:v>
      </x:c>
      <x:c r="B49" s="117"/>
      <x:c r="C49" s="117"/>
      <x:c r="D49" s="117"/>
      <x:c r="E49" s="117"/>
      <x:c r="F49" s="117"/>
      <x:c r="G49" s="117"/>
      <x:c r="H49" s="118"/>
    </x:row>
    <x:row r="50" ht="15">
      <x:c r="A50" s="119"/>
      <x:c r="B50" s="120"/>
      <x:c r="C50" s="120"/>
      <x:c r="D50" s="120"/>
      <x:c r="E50" s="120"/>
      <x:c r="F50" s="120"/>
      <x:c r="G50" s="120"/>
      <x:c r="H50" s="121"/>
    </x:row>
    <x:row r="51" ht="15"/>
    <x:row r="52" ht="35.099998474121094" customHeight="1">
      <x:c r="A52" s="122" t="s">
        <x:v>13</x:v>
      </x:c>
      <x:c r="B52" s="123"/>
      <x:c r="C52" s="123"/>
      <x:c r="D52" s="123"/>
      <x:c r="E52" s="123"/>
      <x:c r="F52" s="123"/>
      <x:c r="G52" s="123"/>
      <x:c r="H52" s="124"/>
      <x:c r="I52" s="2"/>
      <x:c r="J52" s="2"/>
      <x:c r="K52" s="2"/>
      <x:c r="L52" s="2"/>
      <x:c r="M52" s="2"/>
      <x:c r="N52" s="2"/>
    </x:row>
    <x:row r="53" ht="30" customHeight="1">
      <x:c r="A53" s="9" t="s">
        <x:v>14</x:v>
      </x:c>
      <x:c r="B53" s="20" t="s">
        <x:v>15</x:v>
      </x:c>
      <x:c r="C53" s="20" t="s">
        <x:v>49</x:v>
      </x:c>
      <x:c r="D53" s="24" t="s">
        <x:v>16</x:v>
      </x:c>
      <x:c r="E53" s="20" t="s">
        <x:v>49</x:v>
      </x:c>
      <x:c r="F53" s="19" t="s">
        <x:v>17</x:v>
      </x:c>
      <x:c r="G53" s="23" t="s">
        <x:v>18</x:v>
      </x:c>
      <x:c r="H53" s="21"/>
      <x:c r="I53" s="3"/>
      <x:c r="J53" s="3"/>
      <x:c r="K53" s="3"/>
      <x:c r="L53" s="3"/>
      <x:c r="M53" s="3"/>
      <x:c r="N53" s="3"/>
    </x:row>
    <x:row r="54" ht="21.600000381469727" customHeight="1">
      <x:c r="A54" s="125"/>
      <x:c r="B54" s="68" t="str">
        <x:f>IF(TIMING!B17&lt;&gt;"",TIMING!B17,"")</x:f>
        <x:v>Monday</x:v>
      </x:c>
      <x:c r="C54" s="68" t="str">
        <x:f>IF(TIMING!B18&lt;&gt;"",TIMING!B18,"")</x:f>
        <x:v>Tuesday</x:v>
      </x:c>
      <x:c r="D54" s="68" t="str">
        <x:f>IF(TIMING!B19&lt;&gt;"",TIMING!B19,"")</x:f>
        <x:v>Wednesday</x:v>
      </x:c>
      <x:c r="E54" s="68" t="str">
        <x:f>IF(TIMING!B20&lt;&gt;"",TIMING!B20,"")</x:f>
        <x:v>Thursday</x:v>
      </x:c>
      <x:c r="F54" s="68" t="str">
        <x:f>IF(TIMING!B21&lt;&gt;"",TIMING!B21,"")</x:f>
        <x:v>Friday</x:v>
      </x:c>
      <x:c r="G54" s="68" t="str">
        <x:f>IF(TIMING!B22&lt;&gt;"",TIMING!B22,"")</x:f>
        <x:v>Saturday</x:v>
      </x:c>
      <x:c r="H54" s="68" t="str">
        <x:f>IF(TIMING!B23&lt;&gt;"",TIMING!B23,"")</x:f>
        <x:v>Sunday</x:v>
      </x:c>
      <x:c r="I54" s="3"/>
      <x:c r="J54" s="3"/>
      <x:c r="K54" s="3"/>
      <x:c r="L54" s="3"/>
      <x:c r="M54" s="3"/>
      <x:c r="N54" s="3"/>
    </x:row>
    <x:row r="55" ht="21.600000381469727" customHeight="1">
      <x:c r="A55" s="126"/>
      <x:c r="B55" s="68" t="n">
        <x:f>IF(TIMING!A17&lt;&gt;"",TIMING!A17,"")</x:f>
        <x:v>46188</x:v>
      </x:c>
      <x:c r="C55" s="68" t="n">
        <x:f>IF(TIMING!A18&lt;&gt;"",TIMING!A18,"")</x:f>
        <x:v>46189</x:v>
      </x:c>
      <x:c r="D55" s="68" t="n">
        <x:f>IF(TIMING!A19&lt;&gt;"",TIMING!A19,"")</x:f>
        <x:v>46190</x:v>
      </x:c>
      <x:c r="E55" s="68" t="n">
        <x:f>IF(TIMING!A20&lt;&gt;"",TIMING!A20,"")</x:f>
        <x:v>46191</x:v>
      </x:c>
      <x:c r="F55" s="68" t="n">
        <x:f>IF(TIMING!A21&lt;&gt;"",TIMING!A21,"")</x:f>
        <x:v>46192</x:v>
      </x:c>
      <x:c r="G55" s="68" t="n">
        <x:f>IF(TIMING!A22&lt;&gt;"",TIMING!A22,"")</x:f>
        <x:v>46193</x:v>
      </x:c>
      <x:c r="H55" s="68" t="n">
        <x:f>IF(TIMING!A23&lt;&gt;"",TIMING!A23,"")</x:f>
        <x:v>46194</x:v>
      </x:c>
      <x:c r="M55" s="3"/>
      <x:c r="N55" s="3"/>
    </x:row>
    <x:row r="56" ht="18.600000381469727" customHeight="1">
      <x:c r="A56" s="12" t="s">
        <x:v>26</x:v>
      </x:c>
      <x:c r="B56" s="5"/>
      <x:c r="C56" s="5"/>
      <x:c r="D56" s="5"/>
      <x:c r="E56" s="5"/>
      <x:c r="F56" s="5"/>
      <x:c r="G56" s="5"/>
      <x:c r="H56" s="13"/>
    </x:row>
    <x:row r="57" ht="18.600000381469727" customHeight="1">
      <x:c r="A57" s="14" t="s">
        <x:v>27</x:v>
      </x:c>
      <x:c r="B57" s="6"/>
      <x:c r="C57" s="6"/>
      <x:c r="D57" s="6"/>
      <x:c r="E57" s="6"/>
      <x:c r="F57" s="6"/>
      <x:c r="G57" s="6"/>
      <x:c r="H57" s="15"/>
    </x:row>
    <x:row r="58" ht="18.600000381469727" customHeight="1">
      <x:c r="A58" s="12" t="s">
        <x:v>28</x:v>
      </x:c>
      <x:c r="B58" s="7"/>
      <x:c r="C58" s="7"/>
      <x:c r="D58" s="7"/>
      <x:c r="E58" s="7"/>
      <x:c r="F58" s="7"/>
      <x:c r="G58" s="7"/>
      <x:c r="H58" s="16"/>
    </x:row>
    <x:row r="59" ht="18.600000381469727" customHeight="1">
      <x:c r="A59" s="14" t="s">
        <x:v>29</x:v>
      </x:c>
      <x:c r="B59" s="6"/>
      <x:c r="C59" s="6"/>
      <x:c r="D59" s="6"/>
      <x:c r="E59" s="6"/>
      <x:c r="F59" s="6"/>
      <x:c r="G59" s="6"/>
      <x:c r="H59" s="15"/>
    </x:row>
    <x:row r="60" ht="18.600000381469727" customHeight="1">
      <x:c r="A60" s="12" t="s">
        <x:v>30</x:v>
      </x:c>
      <x:c r="B60" s="7"/>
      <x:c r="C60" s="7"/>
      <x:c r="D60" s="7"/>
      <x:c r="E60" s="7"/>
      <x:c r="F60" s="7"/>
      <x:c r="G60" s="7"/>
      <x:c r="H60" s="16"/>
    </x:row>
    <x:row r="61" ht="18.600000381469727" customHeight="1">
      <x:c r="A61" s="14" t="s">
        <x:v>31</x:v>
      </x:c>
      <x:c r="B61" s="6"/>
      <x:c r="C61" s="6"/>
      <x:c r="D61" s="6"/>
      <x:c r="E61" s="6"/>
      <x:c r="F61" s="6"/>
      <x:c r="G61" s="6"/>
      <x:c r="H61" s="15"/>
    </x:row>
    <x:row r="62" ht="18.600000381469727" customHeight="1">
      <x:c r="A62" s="12" t="s">
        <x:v>32</x:v>
      </x:c>
      <x:c r="B62" s="7"/>
      <x:c r="C62" s="7"/>
      <x:c r="D62" s="7"/>
      <x:c r="E62" s="7"/>
      <x:c r="F62" s="7"/>
      <x:c r="G62" s="7"/>
      <x:c r="H62" s="16"/>
    </x:row>
    <x:row r="63" ht="18.600000381469727" customHeight="1">
      <x:c r="A63" s="32" t="s">
        <x:v>33</x:v>
      </x:c>
      <x:c r="B63" s="33"/>
      <x:c r="C63" s="33"/>
      <x:c r="D63" s="33"/>
      <x:c r="E63" s="33"/>
      <x:c r="F63" s="33"/>
      <x:c r="G63" s="33"/>
      <x:c r="H63" s="34"/>
    </x:row>
    <x:row r="64" ht="18.600000381469727" customHeight="1">
      <x:c r="A64" s="12" t="s">
        <x:v>34</x:v>
      </x:c>
      <x:c r="B64" s="7"/>
      <x:c r="C64" s="7"/>
      <x:c r="D64" s="7"/>
      <x:c r="E64" s="7"/>
      <x:c r="F64" s="7"/>
      <x:c r="G64" s="7"/>
      <x:c r="H64" s="16"/>
    </x:row>
    <x:row r="65" ht="18.600000381469727" customHeight="1">
      <x:c r="A65" s="14" t="s">
        <x:v>35</x:v>
      </x:c>
      <x:c r="B65" s="6"/>
      <x:c r="C65" s="6"/>
      <x:c r="D65" s="6"/>
      <x:c r="E65" s="6"/>
      <x:c r="F65" s="6"/>
      <x:c r="G65" s="6"/>
      <x:c r="H65" s="15"/>
    </x:row>
    <x:row r="66" ht="18.600000381469727" customHeight="1">
      <x:c r="A66" s="12" t="s">
        <x:v>36</x:v>
      </x:c>
      <x:c r="B66" s="7"/>
      <x:c r="C66" s="7"/>
      <x:c r="D66" s="7"/>
      <x:c r="E66" s="7"/>
      <x:c r="F66" s="7"/>
      <x:c r="G66" s="7"/>
      <x:c r="H66" s="16"/>
    </x:row>
    <x:row r="67" ht="18.600000381469727" customHeight="1">
      <x:c r="A67" s="14" t="s">
        <x:v>37</x:v>
      </x:c>
      <x:c r="B67" s="6"/>
      <x:c r="C67" s="6"/>
      <x:c r="D67" s="6"/>
      <x:c r="E67" s="6"/>
      <x:c r="F67" s="6"/>
      <x:c r="G67" s="6"/>
      <x:c r="H67" s="15"/>
    </x:row>
    <x:row r="68" ht="18.600000381469727" customHeight="1">
      <x:c r="A68" s="127" t="s">
        <x:v>38</x:v>
      </x:c>
      <x:c r="B68" s="6"/>
      <x:c r="C68" s="6"/>
      <x:c r="D68" s="6"/>
      <x:c r="E68" s="6"/>
      <x:c r="F68" s="6"/>
      <x:c r="G68" s="6"/>
      <x:c r="H68" s="15"/>
    </x:row>
    <x:row r="69" ht="18.600000381469727" customHeight="1">
      <x:c r="A69" s="128"/>
      <x:c r="B69" s="10"/>
      <x:c r="C69" s="10"/>
      <x:c r="D69" s="10"/>
      <x:c r="E69" s="10"/>
      <x:c r="F69" s="10"/>
      <x:c r="G69" s="10"/>
      <x:c r="H69" s="17"/>
    </x:row>
    <x:row r="70" ht="18.600000381469727" customHeight="1">
      <x:c r="A70" s="12" t="s">
        <x:v>39</x:v>
      </x:c>
      <x:c r="B70" s="7"/>
      <x:c r="C70" s="7"/>
      <x:c r="D70" s="7"/>
      <x:c r="E70" s="7"/>
      <x:c r="F70" s="7"/>
      <x:c r="G70" s="7"/>
      <x:c r="H70" s="16"/>
    </x:row>
    <x:row r="71" ht="18.600000381469727" customHeight="1">
      <x:c r="A71" s="14" t="s">
        <x:v>40</x:v>
      </x:c>
      <x:c r="B71" s="6"/>
      <x:c r="C71" s="6"/>
      <x:c r="D71" s="6"/>
      <x:c r="E71" s="6"/>
      <x:c r="F71" s="6"/>
      <x:c r="G71" s="6"/>
      <x:c r="H71" s="15"/>
    </x:row>
    <x:row r="72" ht="18.600000381469727" customHeight="1">
      <x:c r="A72" s="12" t="s">
        <x:v>41</x:v>
      </x:c>
      <x:c r="B72" s="7" t="n">
        <x:f t="shared" ref="B72:H72" si="2">SUM(B56:B71)</x:f>
        <x:v>0</x:v>
      </x:c>
      <x:c r="C72" s="7">
        <x:f t="shared" si="2"/>
        <x:v>0</x:v>
      </x:c>
      <x:c r="D72" s="7">
        <x:f t="shared" si="2"/>
        <x:v>0</x:v>
      </x:c>
      <x:c r="E72" s="7">
        <x:f t="shared" si="2"/>
        <x:v>0</x:v>
      </x:c>
      <x:c r="F72" s="7">
        <x:f t="shared" si="2"/>
        <x:v>0</x:v>
      </x:c>
      <x:c r="G72" s="7">
        <x:f t="shared" si="2"/>
        <x:v>0</x:v>
      </x:c>
      <x:c r="H72" s="16">
        <x:f t="shared" si="2"/>
        <x:v>0</x:v>
      </x:c>
    </x:row>
    <x:row r="73" ht="18.600000381469727" customHeight="1">
      <x:c r="A73" s="18" t="s">
        <x:v>42</x:v>
      </x:c>
      <x:c r="B73" s="129"/>
      <x:c r="C73" s="130"/>
      <x:c r="D73" s="130"/>
      <x:c r="E73" s="130"/>
      <x:c r="F73" s="130"/>
      <x:c r="G73" s="130"/>
      <x:c r="H73" s="8" t="n">
        <x:f>SUM(B72:H72)</x:f>
        <x:v>0</x:v>
      </x:c>
    </x:row>
    <x:row r="74">
      <x:c r="A74" s="116" t="s">
        <x:v>50</x:v>
      </x:c>
      <x:c r="B74" s="117"/>
      <x:c r="C74" s="117"/>
      <x:c r="D74" s="117"/>
      <x:c r="E74" s="117"/>
      <x:c r="F74" s="117"/>
      <x:c r="G74" s="117"/>
      <x:c r="H74" s="118"/>
    </x:row>
    <x:row r="75" ht="15">
      <x:c r="A75" s="119"/>
      <x:c r="B75" s="120"/>
      <x:c r="C75" s="120"/>
      <x:c r="D75" s="120"/>
      <x:c r="E75" s="120"/>
      <x:c r="F75" s="120"/>
      <x:c r="G75" s="120"/>
      <x:c r="H75" s="121"/>
    </x:row>
    <x:row r="76" ht="15"/>
    <x:row r="77" ht="35.099998474121094" customHeight="1">
      <x:c r="A77" s="122" t="s">
        <x:v>13</x:v>
      </x:c>
      <x:c r="B77" s="123"/>
      <x:c r="C77" s="123"/>
      <x:c r="D77" s="123"/>
      <x:c r="E77" s="123"/>
      <x:c r="F77" s="123"/>
      <x:c r="G77" s="123"/>
      <x:c r="H77" s="124"/>
      <x:c r="I77" s="2"/>
      <x:c r="J77" s="2"/>
      <x:c r="K77" s="2"/>
      <x:c r="L77" s="2"/>
      <x:c r="M77" s="2"/>
      <x:c r="N77" s="2"/>
    </x:row>
    <x:row r="78" ht="30" customHeight="1">
      <x:c r="A78" s="9" t="s">
        <x:v>14</x:v>
      </x:c>
      <x:c r="B78" s="20" t="s">
        <x:v>15</x:v>
      </x:c>
      <x:c r="C78" s="20" t="s">
        <x:v>49</x:v>
      </x:c>
      <x:c r="D78" s="24" t="s">
        <x:v>16</x:v>
      </x:c>
      <x:c r="E78" s="20" t="s">
        <x:v>49</x:v>
      </x:c>
      <x:c r="F78" s="19" t="s">
        <x:v>17</x:v>
      </x:c>
      <x:c r="G78" s="23" t="s">
        <x:v>18</x:v>
      </x:c>
      <x:c r="H78" s="21"/>
      <x:c r="I78" s="68"/>
      <x:c r="J78" s="3"/>
      <x:c r="K78" s="3"/>
      <x:c r="L78" s="3"/>
      <x:c r="M78" s="3"/>
      <x:c r="N78" s="3"/>
    </x:row>
    <x:row r="79" ht="21.600000381469727" customHeight="1">
      <x:c r="A79" s="125"/>
      <x:c r="B79" s="68" t="str">
        <x:f>IF(TIMING!B24&lt;&gt;"",TIMING!B24,"")</x:f>
        <x:v>Monday</x:v>
      </x:c>
      <x:c r="C79" s="70" t="str">
        <x:f>IF(TIMING!B25&lt;&gt;"",TIMING!B25,"")</x:f>
        <x:v>Tuesday</x:v>
      </x:c>
      <x:c r="D79" s="70" t="str">
        <x:f>IF(TIMING!B26&lt;&gt;"",TIMING!B26,"")</x:f>
        <x:v>Wednesday</x:v>
      </x:c>
      <x:c r="E79" s="70" t="str">
        <x:f>IF(TIMING!B27&lt;&gt;"",TIMING!B27,"")</x:f>
        <x:v>Thursday</x:v>
      </x:c>
      <x:c r="F79" s="70" t="str">
        <x:f>IF(TIMING!B28&lt;&gt;"",TIMING!B28,"")</x:f>
        <x:v>Friday</x:v>
      </x:c>
      <x:c r="G79" s="70" t="str">
        <x:f>IF(TIMING!B29&lt;&gt;"",TIMING!B29,"")</x:f>
        <x:v>Saturday</x:v>
      </x:c>
      <x:c r="H79" s="70" t="str">
        <x:f>IF(TIMING!B30&lt;&gt;"",TIMING!B30,"")</x:f>
        <x:v>Sunday</x:v>
      </x:c>
      <x:c r="I79" s="68"/>
      <x:c r="J79" s="3"/>
      <x:c r="K79" s="3"/>
      <x:c r="L79" s="3"/>
      <x:c r="M79" s="3"/>
      <x:c r="N79" s="3"/>
    </x:row>
    <x:row r="80" ht="21.600000381469727" customHeight="1">
      <x:c r="A80" s="126"/>
      <x:c r="B80" s="68" t="n">
        <x:f>IF(TIMING!A24&lt;&gt;"",TIMING!A24,"")</x:f>
        <x:v>46195</x:v>
      </x:c>
      <x:c r="C80" s="70" t="n">
        <x:f>IF(TIMING!A25&lt;&gt;"",TIMING!A25,"")</x:f>
        <x:v>46196</x:v>
      </x:c>
      <x:c r="D80" s="70" t="n">
        <x:f>IF(TIMING!A26&lt;&gt;"",TIMING!A26,"")</x:f>
        <x:v>46197</x:v>
      </x:c>
      <x:c r="E80" s="70" t="n">
        <x:f>IF(TIMING!A27&lt;&gt;"",TIMING!A27,"")</x:f>
        <x:v>46198</x:v>
      </x:c>
      <x:c r="F80" s="70" t="n">
        <x:f>IF(TIMING!A28&lt;&gt;"",TIMING!A28,"")</x:f>
        <x:v>46199</x:v>
      </x:c>
      <x:c r="G80" s="70" t="n">
        <x:f>IF(TIMING!A29&lt;&gt;"",TIMING!A29,"")</x:f>
        <x:v>46200</x:v>
      </x:c>
      <x:c r="H80" s="70" t="n">
        <x:f>IF(TIMING!A30&lt;&gt;"",TIMING!A30,"")</x:f>
        <x:v>46201</x:v>
      </x:c>
      <x:c r="I80" s="68"/>
      <x:c r="J80" s="3"/>
      <x:c r="K80" s="3"/>
      <x:c r="L80" s="3"/>
      <x:c r="M80" s="3"/>
      <x:c r="N80" s="3"/>
    </x:row>
    <x:row r="81" ht="18.600000381469727" customHeight="1">
      <x:c r="A81" s="12" t="s">
        <x:v>26</x:v>
      </x:c>
      <x:c r="B81" s="5"/>
      <x:c r="C81" s="5"/>
      <x:c r="D81" s="5"/>
      <x:c r="E81" s="5"/>
      <x:c r="F81" s="5"/>
      <x:c r="G81" s="5"/>
      <x:c r="H81" s="13"/>
    </x:row>
    <x:row r="82" ht="18.600000381469727" customHeight="1">
      <x:c r="A82" s="14" t="s">
        <x:v>27</x:v>
      </x:c>
      <x:c r="B82" s="6"/>
      <x:c r="C82" s="6"/>
      <x:c r="D82" s="6"/>
      <x:c r="E82" s="6"/>
      <x:c r="F82" s="6"/>
      <x:c r="G82" s="6"/>
      <x:c r="H82" s="15"/>
    </x:row>
    <x:row r="83" ht="18.600000381469727" customHeight="1">
      <x:c r="A83" s="12" t="s">
        <x:v>28</x:v>
      </x:c>
      <x:c r="B83" s="7"/>
      <x:c r="C83" s="7"/>
      <x:c r="D83" s="7"/>
      <x:c r="E83" s="7"/>
      <x:c r="F83" s="7"/>
      <x:c r="G83" s="7"/>
      <x:c r="H83" s="16"/>
    </x:row>
    <x:row r="84" ht="18.600000381469727" customHeight="1">
      <x:c r="A84" s="14" t="s">
        <x:v>29</x:v>
      </x:c>
      <x:c r="B84" s="6"/>
      <x:c r="C84" s="6"/>
      <x:c r="D84" s="6"/>
      <x:c r="E84" s="6"/>
      <x:c r="G84" s="6"/>
      <x:c r="H84" s="15"/>
    </x:row>
    <x:row r="85" ht="18.600000381469727" customHeight="1">
      <x:c r="A85" s="12" t="s">
        <x:v>30</x:v>
      </x:c>
      <x:c r="B85" s="7"/>
      <x:c r="C85" s="7"/>
      <x:c r="D85" s="7"/>
      <x:c r="E85" s="7"/>
      <x:c r="F85" s="7"/>
      <x:c r="G85" s="7"/>
      <x:c r="H85" s="16"/>
    </x:row>
    <x:row r="86" ht="18.600000381469727" customHeight="1">
      <x:c r="A86" s="14" t="s">
        <x:v>31</x:v>
      </x:c>
      <x:c r="B86" s="6"/>
      <x:c r="C86" s="6"/>
      <x:c r="D86" s="6"/>
      <x:c r="E86" s="6"/>
      <x:c r="F86" s="6"/>
      <x:c r="G86" s="6"/>
      <x:c r="H86" s="15"/>
    </x:row>
    <x:row r="87" ht="18.600000381469727" customHeight="1">
      <x:c r="A87" s="12" t="s">
        <x:v>32</x:v>
      </x:c>
      <x:c r="B87" s="7"/>
      <x:c r="C87" s="7"/>
      <x:c r="D87" s="7"/>
      <x:c r="E87" s="7"/>
      <x:c r="F87" s="7"/>
      <x:c r="G87" s="7"/>
      <x:c r="H87" s="16"/>
    </x:row>
    <x:row r="88" ht="18.600000381469727" customHeight="1">
      <x:c r="A88" s="32" t="s">
        <x:v>33</x:v>
      </x:c>
      <x:c r="B88" s="33"/>
      <x:c r="C88" s="33"/>
      <x:c r="D88" s="33"/>
      <x:c r="E88" s="33"/>
      <x:c r="F88" s="33"/>
      <x:c r="G88" s="33"/>
      <x:c r="H88" s="34"/>
    </x:row>
    <x:row r="89" ht="18.600000381469727" customHeight="1">
      <x:c r="A89" s="12" t="s">
        <x:v>34</x:v>
      </x:c>
      <x:c r="B89" s="7"/>
      <x:c r="C89" s="7"/>
      <x:c r="D89" s="7"/>
      <x:c r="E89" s="7"/>
      <x:c r="F89" s="7"/>
      <x:c r="G89" s="7"/>
      <x:c r="H89" s="16"/>
    </x:row>
    <x:row r="90" ht="18.600000381469727" customHeight="1">
      <x:c r="A90" s="14" t="s">
        <x:v>35</x:v>
      </x:c>
      <x:c r="B90" s="6"/>
      <x:c r="C90" s="6"/>
      <x:c r="D90" s="6"/>
      <x:c r="E90" s="6"/>
      <x:c r="F90" s="6"/>
      <x:c r="G90" s="6"/>
      <x:c r="H90" s="15"/>
    </x:row>
    <x:row r="91" ht="18.600000381469727" customHeight="1">
      <x:c r="A91" s="12" t="s">
        <x:v>36</x:v>
      </x:c>
      <x:c r="B91" s="7"/>
      <x:c r="C91" s="7"/>
      <x:c r="D91" s="7"/>
      <x:c r="E91" s="7"/>
      <x:c r="F91" s="7"/>
      <x:c r="G91" s="7"/>
      <x:c r="H91" s="16"/>
      <x:c r="K91" s="70" t="str">
        <x:f>IF(TIMING!A34&lt;&gt;"",TIMING!A34,"")</x:f>
      </x:c>
    </x:row>
    <x:row r="92" ht="18.600000381469727" customHeight="1">
      <x:c r="A92" s="14" t="s">
        <x:v>37</x:v>
      </x:c>
      <x:c r="B92" s="6"/>
      <x:c r="C92" s="6"/>
      <x:c r="D92" s="6"/>
      <x:c r="E92" s="6"/>
      <x:c r="F92" s="6"/>
      <x:c r="G92" s="6"/>
      <x:c r="H92" s="15"/>
      <x:c r="K92" s="70" t="str">
        <x:f>IF(TIMING!A35&lt;&gt;"",TIMING!A35,"")</x:f>
      </x:c>
    </x:row>
    <x:row r="93" ht="18.600000381469727" customHeight="1">
      <x:c r="A93" s="127" t="s">
        <x:v>38</x:v>
      </x:c>
      <x:c r="B93" s="6"/>
      <x:c r="C93" s="6"/>
      <x:c r="D93" s="6"/>
      <x:c r="E93" s="6"/>
      <x:c r="F93" s="6"/>
      <x:c r="G93" s="6"/>
      <x:c r="H93" s="15"/>
      <x:c r="K93" s="70" t="str">
        <x:f>IF(TIMING!A36&lt;&gt;"",TIMING!A36,"")</x:f>
      </x:c>
    </x:row>
    <x:row r="94" ht="18.600000381469727" customHeight="1">
      <x:c r="A94" s="128"/>
      <x:c r="B94" s="10"/>
      <x:c r="C94" s="10"/>
      <x:c r="D94" s="10"/>
      <x:c r="E94" s="10"/>
      <x:c r="F94" s="10"/>
      <x:c r="G94" s="10"/>
      <x:c r="H94" s="17"/>
      <x:c r="K94" s="70" t="str">
        <x:f>IF(TIMING!A37&lt;&gt;"",TIMING!A37,"")</x:f>
      </x:c>
    </x:row>
    <x:row r="95" ht="18.600000381469727" customHeight="1">
      <x:c r="A95" s="12" t="s">
        <x:v>39</x:v>
      </x:c>
      <x:c r="B95" s="7"/>
      <x:c r="C95" s="7"/>
      <x:c r="D95" s="7"/>
      <x:c r="E95" s="7"/>
      <x:c r="F95" s="7"/>
      <x:c r="G95" s="7"/>
      <x:c r="H95" s="16"/>
      <x:c r="K95" s="70" t="str">
        <x:f>IF(TIMING!A38&lt;&gt;"",TIMING!A38,"")</x:f>
      </x:c>
    </x:row>
    <x:row r="96" ht="18.600000381469727" customHeight="1">
      <x:c r="A96" s="14" t="s">
        <x:v>40</x:v>
      </x:c>
      <x:c r="B96" s="6"/>
      <x:c r="C96" s="6"/>
      <x:c r="D96" s="6"/>
      <x:c r="E96" s="6"/>
      <x:c r="F96" s="6"/>
      <x:c r="G96" s="6"/>
      <x:c r="H96" s="15"/>
      <x:c r="K96" s="70" t="str">
        <x:f>IF(TIMING!A39&lt;&gt;"",TIMING!A39,"")</x:f>
      </x:c>
    </x:row>
    <x:row r="97" ht="18.600000381469727" customHeight="1">
      <x:c r="A97" s="12" t="s">
        <x:v>41</x:v>
      </x:c>
      <x:c r="B97" s="7" t="n">
        <x:f t="shared" ref="B97:H97" si="3">SUM(B81:B96)</x:f>
        <x:v>0</x:v>
      </x:c>
      <x:c r="C97" s="7">
        <x:f t="shared" si="3"/>
        <x:v>0</x:v>
      </x:c>
      <x:c r="D97" s="7">
        <x:f t="shared" si="3"/>
        <x:v>0</x:v>
      </x:c>
      <x:c r="E97" s="7">
        <x:f t="shared" si="3"/>
        <x:v>0</x:v>
      </x:c>
      <x:c r="F97" s="7">
        <x:f t="shared" si="3"/>
        <x:v>0</x:v>
      </x:c>
      <x:c r="G97" s="7">
        <x:f t="shared" si="3"/>
        <x:v>0</x:v>
      </x:c>
      <x:c r="H97" s="16">
        <x:f t="shared" si="3"/>
        <x:v>0</x:v>
      </x:c>
      <x:c r="K97" s="70" t="str">
        <x:f>IF(TIMING!A40&lt;&gt;"",TIMING!A40,"")</x:f>
      </x:c>
    </x:row>
    <x:row r="98" ht="18.600000381469727" customHeight="1">
      <x:c r="A98" s="18" t="s">
        <x:v>42</x:v>
      </x:c>
      <x:c r="B98" s="129"/>
      <x:c r="C98" s="130"/>
      <x:c r="D98" s="130"/>
      <x:c r="E98" s="130"/>
      <x:c r="F98" s="130"/>
      <x:c r="G98" s="130"/>
      <x:c r="H98" s="8" t="n">
        <x:f>SUM(B97:H97)</x:f>
        <x:v>0</x:v>
      </x:c>
      <x:c r="K98" s="70" t="str">
        <x:f>IF(TIMING!A41&lt;&gt;"",TIMING!A41,"")</x:f>
      </x:c>
    </x:row>
    <x:row r="99">
      <x:c r="A99" s="116" t="s">
        <x:v>52</x:v>
      </x:c>
      <x:c r="B99" s="117"/>
      <x:c r="C99" s="117"/>
      <x:c r="D99" s="117"/>
      <x:c r="E99" s="117"/>
      <x:c r="F99" s="117"/>
      <x:c r="G99" s="117"/>
      <x:c r="H99" s="118"/>
      <x:c r="K99" s="70" t="str">
        <x:f>IF(TIMING!A42&lt;&gt;"",TIMING!A42,"")</x:f>
      </x:c>
    </x:row>
    <x:row r="100" ht="15">
      <x:c r="A100" s="119"/>
      <x:c r="B100" s="120"/>
      <x:c r="C100" s="120"/>
      <x:c r="D100" s="120"/>
      <x:c r="E100" s="120"/>
      <x:c r="F100" s="120"/>
      <x:c r="G100" s="120"/>
      <x:c r="H100" s="121"/>
      <x:c r="K100" s="70" t="str">
        <x:f>IF(TIMING!A43&lt;&gt;"",TIMING!A43,"")</x:f>
      </x:c>
    </x:row>
    <x:row r="101" ht="15">
      <x:c r="K101" s="70" t="str">
        <x:f>IF(TIMING!A44&lt;&gt;"",TIMING!A44,"")</x:f>
      </x:c>
    </x:row>
    <x:row r="102" ht="30" customHeight="1">
      <x:c r="A102" s="9" t="s">
        <x:v>14</x:v>
      </x:c>
      <x:c r="B102" s="22" t="s">
        <x:v>15</x:v>
      </x:c>
      <x:c r="C102" s="20" t="s">
        <x:v>49</x:v>
      </x:c>
      <x:c r="D102" s="24" t="s">
        <x:v>16</x:v>
      </x:c>
      <x:c r="E102" s="20" t="s">
        <x:v>49</x:v>
      </x:c>
      <x:c r="F102" s="19" t="s">
        <x:v>17</x:v>
      </x:c>
      <x:c r="G102" s="23" t="s">
        <x:v>18</x:v>
      </x:c>
      <x:c r="H102" s="21"/>
      <x:c r="K102" s="70" t="str">
        <x:f>IF(TIMING!A45&lt;&gt;"",TIMING!A45,"")</x:f>
      </x:c>
      <x:c r="M102" s="3"/>
      <x:c r="N102" s="3"/>
    </x:row>
    <x:row r="103" ht="21.600000381469727" customHeight="1">
      <x:c r="A103" s="131"/>
      <x:c r="B103" s="70" t="str">
        <x:f>IF(TIMING!B31&lt;&gt;"",TIMING!B31,"")</x:f>
        <x:v>Monday</x:v>
      </x:c>
      <x:c r="C103" s="70" t="str">
        <x:f>IF(TIMING!B32&lt;&gt;"",TIMING!B32,"")</x:f>
        <x:v>Tuesday</x:v>
      </x:c>
      <x:c r="D103" s="70" t="str">
        <x:f>IF(TIMING!B33&lt;&gt;"",TIMING!B33,"")</x:f>
      </x:c>
      <x:c r="E103" s="4"/>
      <x:c r="F103" s="4"/>
      <x:c r="G103" s="4"/>
      <x:c r="H103" s="11"/>
      <x:c r="I103" s="3"/>
      <x:c r="J103" s="3"/>
      <x:c r="K103" s="3"/>
      <x:c r="L103" s="3"/>
      <x:c r="M103" s="3"/>
      <x:c r="N103" s="3"/>
    </x:row>
    <x:row r="104" ht="21.600000381469727" customHeight="1">
      <x:c r="A104" s="132"/>
      <x:c r="B104" s="70" t="n">
        <x:f>IF(TIMING!A31&lt;&gt;"",TIMING!A31,"")</x:f>
        <x:v>46202</x:v>
      </x:c>
      <x:c r="C104" s="70" t="n">
        <x:f>IF(TIMING!A32&lt;&gt;"",TIMING!A32,"")</x:f>
        <x:v>46203</x:v>
      </x:c>
      <x:c r="D104" s="70" t="str">
        <x:f>IF(TIMING!A33&lt;&gt;"",TIMING!A33,"")</x:f>
      </x:c>
      <x:c r="E104" s="31"/>
      <x:c r="F104" s="31"/>
      <x:c r="G104" s="31"/>
      <x:c r="H104" s="31"/>
      <x:c r="I104" s="3"/>
      <x:c r="J104" s="3"/>
      <x:c r="K104" s="3"/>
      <x:c r="L104" s="3"/>
      <x:c r="M104" s="3"/>
      <x:c r="N104" s="3"/>
    </x:row>
    <x:row r="105" ht="18.600000381469727" customHeight="1">
      <x:c r="A105" s="12" t="s">
        <x:v>26</x:v>
      </x:c>
      <x:c r="B105" s="5"/>
      <x:c r="C105" s="5"/>
      <x:c r="D105" s="5"/>
      <x:c r="E105" s="5"/>
      <x:c r="F105" s="5"/>
      <x:c r="G105" s="5"/>
      <x:c r="H105" s="13"/>
    </x:row>
    <x:row r="106" ht="18.600000381469727" customHeight="1">
      <x:c r="A106" s="14" t="s">
        <x:v>27</x:v>
      </x:c>
      <x:c r="B106" s="6"/>
      <x:c r="C106" s="6"/>
      <x:c r="D106" s="6"/>
      <x:c r="E106" s="6"/>
      <x:c r="F106" s="6"/>
      <x:c r="G106" s="6"/>
      <x:c r="H106" s="15"/>
    </x:row>
    <x:row r="107" ht="18.600000381469727" customHeight="1">
      <x:c r="A107" s="12" t="s">
        <x:v>28</x:v>
      </x:c>
      <x:c r="B107" s="7"/>
      <x:c r="C107" s="7"/>
      <x:c r="D107" s="7"/>
      <x:c r="E107" s="7"/>
      <x:c r="F107" s="7"/>
      <x:c r="G107" s="7"/>
      <x:c r="H107" s="16"/>
    </x:row>
    <x:row r="108" ht="18.600000381469727" customHeight="1">
      <x:c r="A108" s="14" t="s">
        <x:v>29</x:v>
      </x:c>
      <x:c r="B108" s="6"/>
      <x:c r="C108" s="6"/>
      <x:c r="D108" s="6"/>
      <x:c r="E108" s="6"/>
      <x:c r="F108" s="6"/>
      <x:c r="G108" s="6"/>
      <x:c r="H108" s="15"/>
    </x:row>
    <x:row r="109" ht="18.600000381469727" customHeight="1">
      <x:c r="A109" s="12" t="s">
        <x:v>30</x:v>
      </x:c>
      <x:c r="B109" s="7"/>
      <x:c r="C109" s="7"/>
      <x:c r="D109" s="7"/>
      <x:c r="E109" s="7"/>
      <x:c r="F109" s="7"/>
      <x:c r="G109" s="7"/>
      <x:c r="H109" s="16"/>
    </x:row>
    <x:row r="110" ht="18.600000381469727" customHeight="1">
      <x:c r="A110" s="14" t="s">
        <x:v>31</x:v>
      </x:c>
      <x:c r="B110" s="6"/>
      <x:c r="C110" s="6"/>
      <x:c r="D110" s="6"/>
      <x:c r="E110" s="6"/>
      <x:c r="F110" s="6"/>
      <x:c r="G110" s="6"/>
      <x:c r="H110" s="15"/>
    </x:row>
    <x:row r="111" ht="18.600000381469727" customHeight="1">
      <x:c r="A111" s="12" t="s">
        <x:v>32</x:v>
      </x:c>
      <x:c r="B111" s="7"/>
      <x:c r="C111" s="7"/>
      <x:c r="D111" s="7"/>
      <x:c r="E111" s="7"/>
      <x:c r="F111" s="7"/>
      <x:c r="G111" s="7"/>
      <x:c r="H111" s="16"/>
    </x:row>
    <x:row r="112" ht="18.600000381469727" customHeight="1">
      <x:c r="A112" s="32" t="s">
        <x:v>33</x:v>
      </x:c>
      <x:c r="B112" s="33"/>
      <x:c r="C112" s="33"/>
      <x:c r="D112" s="33"/>
      <x:c r="E112" s="33"/>
      <x:c r="F112" s="33"/>
      <x:c r="G112" s="33"/>
      <x:c r="H112" s="34"/>
    </x:row>
    <x:row r="113" ht="18.600000381469727" customHeight="1">
      <x:c r="A113" s="12" t="s">
        <x:v>34</x:v>
      </x:c>
      <x:c r="B113" s="7"/>
      <x:c r="C113" s="7"/>
      <x:c r="D113" s="7"/>
      <x:c r="E113" s="7"/>
      <x:c r="F113" s="7"/>
      <x:c r="G113" s="7"/>
      <x:c r="H113" s="16"/>
    </x:row>
    <x:row r="114" ht="18.600000381469727" customHeight="1">
      <x:c r="A114" s="14" t="s">
        <x:v>35</x:v>
      </x:c>
      <x:c r="B114" s="6"/>
      <x:c r="C114" s="6"/>
      <x:c r="D114" s="6"/>
      <x:c r="E114" s="6"/>
      <x:c r="F114" s="6"/>
      <x:c r="G114" s="6"/>
      <x:c r="H114" s="15"/>
    </x:row>
    <x:row r="115" ht="18.600000381469727" customHeight="1">
      <x:c r="A115" s="12" t="s">
        <x:v>36</x:v>
      </x:c>
      <x:c r="B115" s="7"/>
      <x:c r="C115" s="7"/>
      <x:c r="D115" s="7"/>
      <x:c r="E115" s="7"/>
      <x:c r="F115" s="7"/>
      <x:c r="G115" s="7"/>
      <x:c r="H115" s="16"/>
    </x:row>
    <x:row r="116" ht="18.600000381469727" customHeight="1">
      <x:c r="A116" s="14" t="s">
        <x:v>37</x:v>
      </x:c>
      <x:c r="B116" s="6"/>
      <x:c r="C116" s="6"/>
      <x:c r="D116" s="6"/>
      <x:c r="E116" s="6"/>
      <x:c r="F116" s="6"/>
      <x:c r="G116" s="6"/>
      <x:c r="H116" s="15"/>
    </x:row>
    <x:row r="117" ht="18.600000381469727" customHeight="1">
      <x:c r="A117" s="127" t="s">
        <x:v>38</x:v>
      </x:c>
      <x:c r="B117" s="6"/>
      <x:c r="C117" s="6"/>
      <x:c r="D117" s="6"/>
      <x:c r="E117" s="6"/>
      <x:c r="F117" s="6"/>
      <x:c r="G117" s="6"/>
      <x:c r="H117" s="15"/>
    </x:row>
    <x:row r="118" ht="18.600000381469727" customHeight="1">
      <x:c r="A118" s="128"/>
      <x:c r="B118" s="10"/>
      <x:c r="C118" s="10"/>
      <x:c r="D118" s="10"/>
      <x:c r="E118" s="10"/>
      <x:c r="F118" s="10"/>
      <x:c r="G118" s="10"/>
      <x:c r="H118" s="17"/>
    </x:row>
    <x:row r="119" ht="18.600000381469727" customHeight="1">
      <x:c r="A119" s="12" t="s">
        <x:v>39</x:v>
      </x:c>
      <x:c r="B119" s="7"/>
      <x:c r="C119" s="7"/>
      <x:c r="D119" s="7"/>
      <x:c r="E119" s="7"/>
      <x:c r="F119" s="7"/>
      <x:c r="G119" s="7"/>
      <x:c r="H119" s="16"/>
    </x:row>
    <x:row r="120" ht="18.600000381469727" customHeight="1">
      <x:c r="A120" s="14" t="s">
        <x:v>40</x:v>
      </x:c>
      <x:c r="B120" s="6"/>
      <x:c r="C120" s="6"/>
      <x:c r="D120" s="6"/>
      <x:c r="E120" s="6"/>
      <x:c r="F120" s="6"/>
      <x:c r="G120" s="6"/>
      <x:c r="H120" s="15"/>
    </x:row>
    <x:row r="121" ht="18.600000381469727" customHeight="1">
      <x:c r="A121" s="12" t="s">
        <x:v>41</x:v>
      </x:c>
      <x:c r="B121" s="7" t="n">
        <x:f>SUM(B105:B120)</x:f>
        <x:v>0</x:v>
      </x:c>
      <x:c r="C121" s="7" t="n">
        <x:f t="shared" ref="C121:F121" si="4">SUM(C105:C120)</x:f>
        <x:v>0</x:v>
      </x:c>
      <x:c r="D121" s="7">
        <x:f t="shared" si="4"/>
        <x:v>0</x:v>
      </x:c>
      <x:c r="E121" s="7">
        <x:f t="shared" si="4"/>
        <x:v>0</x:v>
      </x:c>
      <x:c r="F121" s="7">
        <x:f t="shared" si="4"/>
        <x:v>0</x:v>
      </x:c>
      <x:c r="G121" s="7" t="n">
        <x:f>SUM(G105:G120)</x:f>
        <x:v>0</x:v>
      </x:c>
      <x:c r="H121" s="27" t="n">
        <x:f>SUM(H105:H120)</x:f>
        <x:v>0</x:v>
      </x:c>
    </x:row>
    <x:row r="122" ht="18.600000381469727" customHeight="1">
      <x:c r="A122" s="29" t="s">
        <x:v>42</x:v>
      </x:c>
      <x:c r="B122" s="129"/>
      <x:c r="C122" s="130"/>
      <x:c r="D122" s="130"/>
      <x:c r="E122" s="130"/>
      <x:c r="F122" s="130"/>
      <x:c r="G122" s="130"/>
      <x:c r="H122" s="30" t="n">
        <x:f>SUM(B121:H121)</x:f>
        <x:v>0</x:v>
      </x:c>
    </x:row>
    <x:row r="123" ht="18.600000381469727" customHeight="1">
      <x:c r="A123" s="25" t="s">
        <x:v>44</x:v>
      </x:c>
      <x:c r="B123" s="26"/>
      <x:c r="C123" s="26"/>
      <x:c r="D123" s="26"/>
      <x:c r="E123" s="26"/>
      <x:c r="F123" s="26"/>
      <x:c r="G123" s="26"/>
      <x:c r="H123" s="28" t="n">
        <x:f>SUM(B22:H22,B47:H47,B72:H72,B97:H97,B121:H121)</x:f>
        <x:v>0</x:v>
      </x:c>
    </x:row>
    <x:row r="124" ht="15">
      <x:c r="A124" s="35" t="s">
        <x:v>45</x:v>
      </x:c>
      <x:c r="B124" s="36" t="s">
        <x:v>46</x:v>
      </x:c>
      <x:c r="C124" s="37"/>
      <x:c r="D124" s="37"/>
      <x:c r="E124" s="37"/>
      <x:c r="F124" s="37"/>
      <x:c r="G124" s="37"/>
      <x:c r="H124" s="41" t="s">
        <x:v>47</x:v>
      </x:c>
    </x:row>
    <x:row r="125" ht="15">
      <x:c r="A125" s="38" t="s">
        <x:v>48</x:v>
      </x:c>
      <x:c r="B125" s="39" t="s">
        <x:v>46</x:v>
      </x:c>
      <x:c r="C125" s="40"/>
      <x:c r="D125" s="40"/>
      <x:c r="E125" s="40"/>
      <x:c r="F125" s="40"/>
      <x:c r="G125" s="40"/>
      <x:c r="H125" s="41" t="s">
        <x:v>47</x:v>
      </x:c>
    </x:row>
  </x:sheetData>
  <x:mergeCells>
    <x:mergeCell ref="A103:A104"/>
    <x:mergeCell ref="A117:A118"/>
    <x:mergeCell ref="B122:G122"/>
    <x:mergeCell ref="A79:A80"/>
    <x:mergeCell ref="A93:A94"/>
    <x:mergeCell ref="B98:G98"/>
    <x:mergeCell ref="A99:H100"/>
    <x:mergeCell ref="A52:H52"/>
    <x:mergeCell ref="A2:H2"/>
    <x:mergeCell ref="A18:A19"/>
    <x:mergeCell ref="A4:A5"/>
    <x:mergeCell ref="A24:H25"/>
    <x:mergeCell ref="A27:H27"/>
    <x:mergeCell ref="B23:G23"/>
    <x:mergeCell ref="A29:A30"/>
    <x:mergeCell ref="A43:A44"/>
    <x:mergeCell ref="B48:G48"/>
    <x:mergeCell ref="A49:H50"/>
    <x:mergeCell ref="A77:H77"/>
    <x:mergeCell ref="A54:A55"/>
    <x:mergeCell ref="A68:A69"/>
    <x:mergeCell ref="B73:G73"/>
    <x:mergeCell ref="A74:H7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3.800000190734863"/>
  <x:cols>
    <x:col min="1" max="5" width="9" style="45" customWidth="0"/>
    <x:col min="6" max="6" width="13.69921875" style="45" customWidth="1"/>
    <x:col min="7" max="10" width="9" style="45" customWidth="0"/>
    <x:col min="11" max="12" width="9.8984375" style="45" customWidth="1"/>
    <x:col min="13" max="16384" width="9" style="45" customWidth="0"/>
  </x:cols>
  <x:sheetData>
    <x:row r="1" ht="14.399999618530273"/>
    <x:row r="2" ht="28.200000762939453">
      <x:c r="B2" s="48" t="s">
        <x:v>53</x:v>
      </x:c>
      <x:c r="D2" s="48" t="s">
        <x:v>54</x:v>
      </x:c>
      <x:c r="E2" s="49"/>
      <x:c r="F2" s="59" t="s">
        <x:v>55</x:v>
      </x:c>
      <x:c r="H2" s="48" t="s">
        <x:v>0</x:v>
      </x:c>
      <x:c r="K2" s="75" t="s">
        <x:v>56</x:v>
      </x:c>
      <x:c r="L2" s="75" t="s">
        <x:v>57</x:v>
      </x:c>
      <x:c r="M2" s="75" t="s">
        <x:v>58</x:v>
      </x:c>
      <x:c r="N2" s="75" t="s">
        <x:v>59</x:v>
      </x:c>
      <x:c r="O2" s="75"/>
      <x:c r="P2" s="75"/>
      <x:c r="Q2" s="75"/>
    </x:row>
    <x:row r="3">
      <x:c r="B3" s="47" t="s">
        <x:v>60</x:v>
      </x:c>
      <x:c r="D3" s="47" t="s">
        <x:v>61</x:v>
      </x:c>
      <x:c r="E3" s="50"/>
      <x:c r="F3" s="51" t="str">
        <x:f>TIMING!D1</x:f>
        <x:v>Giugno</x:v>
      </x:c>
      <x:c r="H3" s="47">
        <x:v>2026</x:v>
      </x:c>
      <x:c r="J3" s="45" t="s">
        <x:v>62</x:v>
      </x:c>
      <x:c r="K3" s="45" t="n">
        <x:f>COUNT(EXPENSE!B5:H5)</x:f>
        <x:v>0</x:v>
      </x:c>
    </x:row>
    <x:row r="4">
      <x:c r="B4" s="46" t="s">
        <x:v>63</x:v>
      </x:c>
      <x:c r="D4" s="46" t="s">
        <x:v>64</x:v>
      </x:c>
      <x:c r="E4" s="50"/>
      <x:c r="F4" s="50" t="e">
        <x:f>MONTH(DATEVALUE("1"&amp;F3))</x:f>
        <x:v>#VALUE!</x:v>
      </x:c>
      <x:c r="H4" s="47">
        <x:v>2027</x:v>
      </x:c>
      <x:c r="J4" s="45" t="s">
        <x:v>65</x:v>
      </x:c>
      <x:c r="K4" s="45" t="n">
        <x:f>COUNT(EXPENSE!B30:H30)</x:f>
        <x:v>4</x:v>
      </x:c>
      <x:c r="L4" s="45" t="n">
        <x:f>K3+K4</x:f>
        <x:v>4</x:v>
      </x:c>
      <x:c r="M4" s="45" t="e">
        <x:f>$F$8-L4</x:f>
        <x:v>#VALUE!</x:v>
      </x:c>
      <x:c r="N4" s="45" t="e">
        <x:f>IF(M4&gt;6,"7",M4)</x:f>
        <x:v>#VALUE!</x:v>
      </x:c>
    </x:row>
    <x:row r="5">
      <x:c r="B5" s="46" t="s">
        <x:v>66</x:v>
      </x:c>
      <x:c r="D5" s="46" t="s">
        <x:v>67</x:v>
      </x:c>
      <x:c r="E5" s="50"/>
      <x:c r="H5" s="47">
        <x:v>2028</x:v>
      </x:c>
      <x:c r="J5" s="45" t="s">
        <x:v>68</x:v>
      </x:c>
      <x:c r="K5" s="45" t="n">
        <x:f>COUNT(EXPENSE!B55:H55)</x:f>
        <x:v>7</x:v>
      </x:c>
      <x:c r="L5" s="45" t="n">
        <x:f>L4+K5</x:f>
        <x:v>11</x:v>
      </x:c>
      <x:c r="M5" s="45" t="e">
        <x:f t="shared" ref="M5:M6" si="0">$F$8-L5</x:f>
        <x:v>#VALUE!</x:v>
      </x:c>
      <x:c r="N5" s="45" t="e">
        <x:f>IF(M5&gt;6,"7",M5)</x:f>
        <x:v>#VALUE!</x:v>
      </x:c>
    </x:row>
    <x:row r="6">
      <x:c r="B6" s="46"/>
      <x:c r="D6" s="46" t="s">
        <x:v>69</x:v>
      </x:c>
      <x:c r="E6" s="50"/>
      <x:c r="F6" s="50"/>
      <x:c r="H6" s="47">
        <x:v>2029</x:v>
      </x:c>
      <x:c r="J6" s="45" t="s">
        <x:v>70</x:v>
      </x:c>
      <x:c r="K6" s="76" t="n">
        <x:f>COUNT(EXPENSE!B80:H80)</x:f>
        <x:v>6</x:v>
      </x:c>
      <x:c r="L6" s="45" t="n">
        <x:f>L5+K6</x:f>
        <x:v>17</x:v>
      </x:c>
      <x:c r="M6" s="45">
        <x:f t="shared" si="0"/>
        <x:v>3</x:v>
      </x:c>
      <x:c r="N6" s="45" t="n">
        <x:f>IF(M6&gt;6,"7",M6)</x:f>
        <x:v>3</x:v>
      </x:c>
      <x:c r="P6" s="55"/>
    </x:row>
    <x:row r="7">
      <x:c r="B7" s="46"/>
      <x:c r="D7" s="46" t="s">
        <x:v>71</x:v>
      </x:c>
      <x:c r="E7" s="50"/>
      <x:c r="F7" s="50" t="s">
        <x:v>72</x:v>
      </x:c>
      <x:c r="H7" s="47">
        <x:v>2030</x:v>
      </x:c>
      <x:c r="J7" s="45" t="s">
        <x:v>73</x:v>
      </x:c>
      <x:c r="K7" s="45" t="str">
        <x:f>IF(M6&gt;6,COUNT(EXPENSE!B105:H105),"0")</x:f>
        <x:v>0</x:v>
      </x:c>
      <x:c r="L7" s="45" t="str">
        <x:f>IF(K7&lt;&gt;"0",L6+K7,"0")</x:f>
        <x:v>0</x:v>
      </x:c>
      <x:c r="M7" s="45" t="str">
        <x:f>IF(K7&lt;&gt;"0",$F$8-L7,"0")</x:f>
        <x:v>0</x:v>
      </x:c>
      <x:c r="N7" s="45" t="str">
        <x:f>IF(K7&lt;&gt;"0",IF(M7&gt;7,"7",M7),"0")</x:f>
        <x:v>0</x:v>
      </x:c>
      <x:c r="O7" s="54"/>
    </x:row>
    <x:row r="8">
      <x:c r="B8" s="46"/>
      <x:c r="D8" s="46" t="s">
        <x:v>2</x:v>
      </x:c>
      <x:c r="E8" s="50"/>
      <x:c r="F8" s="45" t="e">
        <x:f>DAY(DATE(TIMING!B1,F4+1,0))</x:f>
        <x:v>#VALUE!</x:v>
      </x:c>
      <x:c r="H8" s="47">
        <x:v>2031</x:v>
      </x:c>
      <x:c r="K8" s="45" t="s">
        <x:v>74</x:v>
      </x:c>
      <x:c r="L8" s="45" t="n">
        <x:f>SUM(K3:K7)</x:f>
        <x:v>17</x:v>
      </x:c>
    </x:row>
    <x:row r="9">
      <x:c r="B9" s="46"/>
      <x:c r="D9" s="46" t="s">
        <x:v>75</x:v>
      </x:c>
      <x:c r="E9" s="50"/>
      <x:c r="F9" s="50"/>
      <x:c r="H9" s="47">
        <x:v>2032</x:v>
      </x:c>
    </x:row>
    <x:row r="10">
      <x:c r="B10" s="46"/>
      <x:c r="D10" s="46" t="s">
        <x:v>76</x:v>
      </x:c>
      <x:c r="E10" s="50"/>
      <x:c r="F10" s="50"/>
      <x:c r="H10" s="47">
        <x:v>2033</x:v>
      </x:c>
      <x:c r="P10" s="55"/>
    </x:row>
    <x:row r="11">
      <x:c r="B11" s="46"/>
      <x:c r="D11" s="46" t="s">
        <x:v>77</x:v>
      </x:c>
      <x:c r="E11" s="50"/>
      <x:c r="F11" s="50"/>
      <x:c r="H11" s="47">
        <x:v>2034</x:v>
      </x:c>
      <x:c r="K11" s="56"/>
    </x:row>
    <x:row r="12">
      <x:c r="B12" s="46"/>
      <x:c r="D12" s="46" t="s">
        <x:v>78</x:v>
      </x:c>
      <x:c r="E12" s="50"/>
      <x:c r="F12" s="50"/>
      <x:c r="H12" s="47">
        <x:v>2035</x:v>
      </x:c>
      <x:c r="K12" s="57"/>
    </x:row>
    <x:row r="13">
      <x:c r="B13" s="46"/>
      <x:c r="D13" s="46" t="s">
        <x:v>79</x:v>
      </x:c>
      <x:c r="E13" s="50"/>
      <x:c r="F13" s="50"/>
      <x:c r="H13" s="47">
        <x:v>2036</x:v>
      </x:c>
      <x:c r="K13" s="56"/>
    </x:row>
    <x:row r="14">
      <x:c r="B14" s="46"/>
      <x:c r="D14" s="46" t="s">
        <x:v>80</x:v>
      </x:c>
      <x:c r="E14" s="50"/>
      <x:c r="F14" s="50"/>
      <x:c r="H14" s="47">
        <x:v>2037</x:v>
      </x:c>
      <x:c r="K14" s="56"/>
    </x:row>
    <x:row r="15">
      <x:c r="B15" s="46"/>
      <x:c r="H15" s="47">
        <x:v>2038</x:v>
      </x:c>
      <x:c r="K15" s="56"/>
    </x:row>
    <x:row r="16">
      <x:c r="B16" s="46"/>
      <x:c r="H16" s="47">
        <x:v>2039</x:v>
      </x:c>
      <x:c r="K16" s="56"/>
    </x:row>
    <x:row r="17">
      <x:c r="B17" s="46"/>
      <x:c r="H17" s="47">
        <x:v>2040</x:v>
      </x:c>
      <x:c r="K17" s="56"/>
      <x:c r="L17" s="50"/>
    </x:row>
    <x:row r="18">
      <x:c r="B18" s="46"/>
      <x:c r="H18" s="47">
        <x:v>2041</x:v>
      </x:c>
      <x:c r="K18" s="56"/>
    </x:row>
    <x:row r="19">
      <x:c r="B19" s="46"/>
      <x:c r="H19" s="47">
        <x:v>2042</x:v>
      </x:c>
      <x:c r="K19" s="56"/>
    </x:row>
    <x:row r="20">
      <x:c r="B20" s="46"/>
      <x:c r="H20" s="47">
        <x:v>2043</x:v>
      </x:c>
      <x:c r="K20" s="56"/>
    </x:row>
    <x:row r="21">
      <x:c r="B21" s="46"/>
      <x:c r="H21" s="47">
        <x:v>2044</x:v>
      </x:c>
      <x:c r="K21" s="56"/>
    </x:row>
    <x:row r="22">
      <x:c r="B22" s="46"/>
      <x:c r="H22" s="47">
        <x:v>2045</x:v>
      </x:c>
      <x:c r="K22" s="56"/>
    </x:row>
    <x:row r="23">
      <x:c r="B23" s="46"/>
      <x:c r="H23" s="47">
        <x:v>2046</x:v>
      </x:c>
      <x:c r="K23" s="56"/>
    </x:row>
    <x:row r="24">
      <x:c r="B24" s="46"/>
      <x:c r="H24" s="47">
        <x:v>2047</x:v>
      </x:c>
      <x:c r="K24" s="56"/>
    </x:row>
    <x:row r="25">
      <x:c r="B25" s="46"/>
      <x:c r="H25" s="47">
        <x:v>2048</x:v>
      </x:c>
      <x:c r="K25" s="56"/>
    </x:row>
    <x:row r="26">
      <x:c r="B26" s="46"/>
      <x:c r="H26" s="47">
        <x:v>2049</x:v>
      </x:c>
      <x:c r="K26" s="56"/>
    </x:row>
    <x:row r="27">
      <x:c r="B27" s="46"/>
      <x:c r="H27" s="47">
        <x:v>2050</x:v>
      </x:c>
      <x:c r="K27" s="56"/>
    </x:row>
    <x:row r="28">
      <x:c r="B28" s="46"/>
      <x:c r="H28" s="47">
        <x:v>2051</x:v>
      </x:c>
      <x:c r="K28" s="56"/>
    </x:row>
    <x:row r="29">
      <x:c r="B29" s="46"/>
      <x:c r="H29" s="47">
        <x:v>2052</x:v>
      </x:c>
      <x:c r="K29" s="56"/>
    </x:row>
    <x:row r="30">
      <x:c r="B30" s="46"/>
      <x:c r="H30" s="47">
        <x:v>2053</x:v>
      </x:c>
      <x:c r="K30" s="56"/>
    </x:row>
    <x:row r="31">
      <x:c r="B31" s="46"/>
      <x:c r="H31" s="47">
        <x:v>2054</x:v>
      </x:c>
      <x:c r="K31" s="56"/>
    </x:row>
    <x:row r="32">
      <x:c r="B32" s="46"/>
      <x:c r="H32" s="47">
        <x:v>2055</x:v>
      </x:c>
      <x:c r="K32" s="56"/>
    </x:row>
    <x:row r="33">
      <x:c r="B33" s="46"/>
      <x:c r="H33" s="47">
        <x:v>2056</x:v>
      </x:c>
      <x:c r="K33" s="56"/>
    </x:row>
    <x:row r="34">
      <x:c r="B34" s="46"/>
      <x:c r="H34" s="47">
        <x:v>2057</x:v>
      </x:c>
      <x:c r="K34" s="56"/>
    </x:row>
    <x:row r="35">
      <x:c r="B35" s="46"/>
      <x:c r="H35" s="47">
        <x:v>2058</x:v>
      </x:c>
      <x:c r="K35" s="56"/>
    </x:row>
    <x:row r="36">
      <x:c r="B36" s="46"/>
      <x:c r="H36" s="47">
        <x:v>2059</x:v>
      </x:c>
      <x:c r="K36" s="56"/>
    </x:row>
    <x:row r="37">
      <x:c r="B37" s="46"/>
      <x:c r="H37" s="47">
        <x:v>2060</x:v>
      </x:c>
      <x:c r="K37" s="56"/>
    </x:row>
    <x:row r="38">
      <x:c r="B38" s="46"/>
      <x:c r="H38" s="47">
        <x:v>2061</x:v>
      </x:c>
      <x:c r="K38" s="56"/>
    </x:row>
    <x:row r="39">
      <x:c r="B39" s="46"/>
      <x:c r="H39" s="47">
        <x:v>2062</x:v>
      </x:c>
    </x:row>
    <x:row r="40">
      <x:c r="B40" s="46"/>
      <x:c r="H40" s="47">
        <x:v>2063</x:v>
      </x:c>
    </x:row>
    <x:row r="41">
      <x:c r="B41" s="46"/>
      <x:c r="H41" s="47">
        <x:v>2064</x:v>
      </x:c>
    </x:row>
  </x:sheetData>
  <x:pageMargins left="0.7" right="0.7" top="0.75" bottom="0.75" header="0.3" footer="0.3"/>
</x:worksheet>
</file>